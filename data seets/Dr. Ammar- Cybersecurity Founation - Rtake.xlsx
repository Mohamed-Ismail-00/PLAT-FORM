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Malak\Desktop\Innovera\Academy\Courses Attendance\"/>
    </mc:Choice>
  </mc:AlternateContent>
  <xr:revisionPtr revIDLastSave="423" documentId="11_22A8B12B197FAC973DF9A7307CC9F286375975C8" xr6:coauthVersionLast="47" xr6:coauthVersionMax="47" xr10:uidLastSave="{86C6FE02-84D9-4E65-8DDB-200D8CEEDF79}"/>
  <bookViews>
    <workbookView xWindow="0" yWindow="0" windowWidth="19200" windowHeight="6930" firstSheet="1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Sheet1!$A$1:$A$35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N2" i="2"/>
  <c r="O3" i="2"/>
  <c r="O4" i="2"/>
  <c r="O5" i="2"/>
  <c r="O6" i="2"/>
  <c r="O7" i="2"/>
  <c r="O8" i="2"/>
  <c r="O9" i="2"/>
  <c r="O10" i="2"/>
  <c r="O11" i="2"/>
  <c r="O12" i="2"/>
  <c r="N3" i="2"/>
  <c r="N4" i="2"/>
  <c r="N5" i="2"/>
  <c r="N6" i="2"/>
  <c r="N7" i="2"/>
  <c r="N8" i="2"/>
  <c r="N9" i="2"/>
  <c r="N10" i="2"/>
  <c r="N11" i="2"/>
  <c r="N12" i="2"/>
  <c r="A54" i="1"/>
  <c r="A44" i="1"/>
  <c r="B54" i="1" l="1"/>
  <c r="C54" i="1"/>
  <c r="D54" i="1"/>
  <c r="E54" i="1"/>
  <c r="F54" i="1"/>
  <c r="G54" i="1"/>
  <c r="C45" i="1"/>
  <c r="A49" i="1"/>
  <c r="A53" i="1" s="1"/>
  <c r="B44" i="1"/>
  <c r="B49" i="1" s="1"/>
  <c r="B53" i="1" s="1"/>
  <c r="C44" i="1"/>
  <c r="C49" i="1" s="1"/>
  <c r="C53" i="1" s="1"/>
  <c r="D44" i="1"/>
  <c r="D49" i="1" s="1"/>
  <c r="D53" i="1" s="1"/>
  <c r="E44" i="1"/>
  <c r="E49" i="1" s="1"/>
  <c r="E53" i="1" s="1"/>
  <c r="F44" i="1"/>
  <c r="F49" i="1" s="1"/>
  <c r="F53" i="1" s="1"/>
  <c r="G44" i="1"/>
  <c r="G49" i="1" s="1"/>
  <c r="G53" i="1" s="1"/>
  <c r="A45" i="1"/>
  <c r="B45" i="1"/>
  <c r="D45" i="1"/>
  <c r="E45" i="1"/>
  <c r="F45" i="1"/>
  <c r="G45" i="1"/>
  <c r="A46" i="1"/>
  <c r="B46" i="1"/>
  <c r="C46" i="1"/>
  <c r="D46" i="1"/>
  <c r="E46" i="1"/>
  <c r="F46" i="1"/>
  <c r="G46" i="1"/>
</calcChain>
</file>

<file path=xl/sharedStrings.xml><?xml version="1.0" encoding="utf-8"?>
<sst xmlns="http://schemas.openxmlformats.org/spreadsheetml/2006/main" count="259" uniqueCount="74">
  <si>
    <t>Session 1</t>
  </si>
  <si>
    <t>All participants</t>
  </si>
  <si>
    <t>Name (original name)</t>
  </si>
  <si>
    <t>Email</t>
  </si>
  <si>
    <t>Join time</t>
  </si>
  <si>
    <t>Leave time</t>
  </si>
  <si>
    <t>Guest</t>
  </si>
  <si>
    <t>Recording disclaimer response</t>
  </si>
  <si>
    <t>In waiting room</t>
  </si>
  <si>
    <t>Names</t>
  </si>
  <si>
    <t xml:space="preserve">Total days of attendance </t>
  </si>
  <si>
    <t>Medhat Yehia Abdul Aziz</t>
  </si>
  <si>
    <t>Yes</t>
  </si>
  <si>
    <t>OK</t>
  </si>
  <si>
    <t>No</t>
  </si>
  <si>
    <t>Tony Peter Fadel naseef</t>
  </si>
  <si>
    <t>mariam mohamed</t>
  </si>
  <si>
    <t>No Response</t>
  </si>
  <si>
    <t>George emil nagy</t>
  </si>
  <si>
    <t>Basmala</t>
  </si>
  <si>
    <t>MEDHAT YEHIA ABDUL AZIZ FARAG</t>
  </si>
  <si>
    <t>Ziad_Raed</t>
  </si>
  <si>
    <t>Ahmed samir fathy</t>
  </si>
  <si>
    <t>Abdelwahed Ayman</t>
  </si>
  <si>
    <t>Ziad raed ahmed negmeldein</t>
  </si>
  <si>
    <t>George</t>
  </si>
  <si>
    <t>Abdelwahed Ayman Abdelwahed</t>
  </si>
  <si>
    <t>TONY Peter</t>
  </si>
  <si>
    <t xml:space="preserve">Youssef Ahmed Saad El-Din </t>
  </si>
  <si>
    <t>Ziad Ahmed Hamza</t>
  </si>
  <si>
    <t>Session 2</t>
  </si>
  <si>
    <t>Basmala darwish Abd EL-Ghany</t>
  </si>
  <si>
    <t xml:space="preserve">Mariem Mohamed </t>
  </si>
  <si>
    <t>Mostafa Taha</t>
  </si>
  <si>
    <t>Ziad Nigm</t>
  </si>
  <si>
    <t xml:space="preserve">11 participants </t>
  </si>
  <si>
    <t>Basmala Darwish</t>
  </si>
  <si>
    <t>Session 3</t>
  </si>
  <si>
    <t>ahmed samir</t>
  </si>
  <si>
    <t>Session 4</t>
  </si>
  <si>
    <t>Session 5</t>
  </si>
  <si>
    <t>Session 6</t>
  </si>
  <si>
    <t>Session 7</t>
  </si>
  <si>
    <t>Ssssion 8</t>
  </si>
  <si>
    <t>_____</t>
  </si>
  <si>
    <t>___</t>
  </si>
  <si>
    <t>__</t>
  </si>
  <si>
    <t>______</t>
  </si>
  <si>
    <t>Recorded Session at 1:00 pm - Wed</t>
  </si>
  <si>
    <t>Session 9</t>
  </si>
  <si>
    <t>Recorded Session at 1:00 pm - Thu</t>
  </si>
  <si>
    <t>Session 10</t>
  </si>
  <si>
    <t>MEDHAT YEHIA</t>
  </si>
  <si>
    <t>Session 11</t>
  </si>
  <si>
    <t>___________________</t>
  </si>
  <si>
    <t> </t>
  </si>
  <si>
    <t>Session 12</t>
  </si>
  <si>
    <t xml:space="preserve">Name </t>
  </si>
  <si>
    <t>Session 1 ( /--/2026)</t>
  </si>
  <si>
    <t>Session 2 ( 7/8/2026)</t>
  </si>
  <si>
    <t>Session 3 ( --/--/2026)</t>
  </si>
  <si>
    <t>Session 4 ( --/--/2026)</t>
  </si>
  <si>
    <t>Session 5 ( --/--/2026)</t>
  </si>
  <si>
    <t>Session 6 ( --/--/2026)</t>
  </si>
  <si>
    <t>Session 7 ( --/--/2026)</t>
  </si>
  <si>
    <t>Session 8 ( --/--/2026)</t>
  </si>
  <si>
    <t>Session 9 ( --/--/2026)</t>
  </si>
  <si>
    <t>Session 10 ( --/--/2026)</t>
  </si>
  <si>
    <t>Session 11  ( --/--/2026)</t>
  </si>
  <si>
    <t>Session 12 ( --/--/2026)</t>
  </si>
  <si>
    <t>total number of attend</t>
  </si>
  <si>
    <t>percentage</t>
  </si>
  <si>
    <t>RECORDED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</si>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</sst>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\%"/>
  </numFmts>
  <fonts count="14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rgb="FFFF0000"/>
      <name val="Calibri"/>
      <scheme val="minor"/>
    </font>
    <font>
      <sz val="11"/>
      <color rgb="FFFF0000"/>
      <name val="Book Antiqua"/>
    </font>
    <font>
      <sz val="11"/>
      <color rgb="FF000000"/>
      <name val="Book Antiqua"/>
    </font>
    <font>
      <b/>
      <sz val="11"/>
      <color rgb="FF000000"/>
      <name val="Book Antiqua"/>
    </font>
    <font>
      <sz val="11"/>
      <color rgb="FFFF0000"/>
      <name val="Book Antiqua"/>
      <charset val="1"/>
    </font>
    <font>
      <sz val="11"/>
      <color rgb="FF000000"/>
      <name val="Book Antiqua"/>
      <family val="1"/>
    </font>
    <font>
      <b/>
      <sz val="11"/>
      <color rgb="FF000000"/>
      <name val="Book Antiqua"/>
      <charset val="1"/>
    </font>
    <font>
      <b/>
      <sz val="11"/>
      <color theme="1"/>
      <name val="Book Antiqua"/>
      <charset val="1"/>
    </font>
    <font>
      <sz val="11"/>
      <color rgb="FFFF0000"/>
      <name val="Book Antiqua"/>
      <family val="1"/>
    </font>
    <font>
      <sz val="11"/>
      <color rgb="FFFF0000"/>
      <name val="Calibri"/>
      <family val="2"/>
      <scheme val="minor"/>
    </font>
    <font>
      <sz val="9"/>
      <color theme="1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22" fontId="1" fillId="0" borderId="1" xfId="0" applyNumberFormat="1" applyFont="1" applyBorder="1"/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0" xfId="0" applyFont="1" applyFill="1"/>
    <xf numFmtId="14" fontId="1" fillId="0" borderId="1" xfId="0" applyNumberFormat="1" applyFont="1" applyBorder="1"/>
    <xf numFmtId="0" fontId="0" fillId="0" borderId="1" xfId="0" applyBorder="1"/>
    <xf numFmtId="0" fontId="8" fillId="0" borderId="0" xfId="0" applyFont="1"/>
    <xf numFmtId="0" fontId="8" fillId="0" borderId="1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7" borderId="1" xfId="0" applyFont="1" applyFill="1" applyBorder="1"/>
    <xf numFmtId="0" fontId="8" fillId="7" borderId="5" xfId="0" applyFont="1" applyFill="1" applyBorder="1"/>
    <xf numFmtId="14" fontId="8" fillId="0" borderId="7" xfId="0" applyNumberFormat="1" applyFont="1" applyBorder="1"/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left" inden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3" fillId="0" borderId="0" xfId="0" applyFont="1"/>
    <xf numFmtId="164" fontId="1" fillId="0" borderId="0" xfId="0" applyNumberFormat="1" applyFont="1"/>
    <xf numFmtId="0" fontId="6" fillId="8" borderId="11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165" fontId="2" fillId="8" borderId="11" xfId="0" applyNumberFormat="1" applyFont="1" applyFill="1" applyBorder="1" applyAlignment="1">
      <alignment horizontal="center" vertical="center"/>
    </xf>
    <xf numFmtId="165" fontId="1" fillId="0" borderId="0" xfId="0" applyNumberFormat="1" applyFont="1"/>
    <xf numFmtId="165" fontId="1" fillId="0" borderId="11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lak/Downloads/participants_94352435114_2026_07_20.csv" TargetMode="External"/><Relationship Id="rId1" Type="http://schemas.openxmlformats.org/officeDocument/2006/relationships/externalLinkPath" Target="/Users/Malak/Downloads/participants_94352435114_2026_07_2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ticipants_94352435114_2026_0"/>
    </sheetNames>
    <sheetDataSet>
      <sheetData sheetId="0" refreshError="1">
        <row r="1">
          <cell r="A1" t="str">
            <v>Name (original name)</v>
          </cell>
          <cell r="B1" t="str">
            <v>Email</v>
          </cell>
          <cell r="C1" t="str">
            <v>Join time</v>
          </cell>
          <cell r="D1" t="str">
            <v>Leave time</v>
          </cell>
          <cell r="E1" t="str">
            <v>Guest</v>
          </cell>
          <cell r="F1" t="str">
            <v>Recording disclaimer response</v>
          </cell>
          <cell r="G1" t="str">
            <v>In waiting room</v>
          </cell>
        </row>
        <row r="2">
          <cell r="A2" t="str">
            <v>MEDHAT YEHIA</v>
          </cell>
          <cell r="C2">
            <v>46223.741006944445</v>
          </cell>
          <cell r="D2">
            <v>46223.853032407409</v>
          </cell>
          <cell r="E2" t="str">
            <v>Yes</v>
          </cell>
          <cell r="F2" t="str">
            <v>OK</v>
          </cell>
          <cell r="G2" t="str">
            <v>No</v>
          </cell>
        </row>
        <row r="3">
          <cell r="A3" t="str">
            <v>ahmed samir</v>
          </cell>
          <cell r="C3">
            <v>46223.749710648146</v>
          </cell>
          <cell r="D3">
            <v>46223.85083333333</v>
          </cell>
          <cell r="E3" t="str">
            <v>Yes</v>
          </cell>
          <cell r="F3" t="str">
            <v>OK</v>
          </cell>
          <cell r="G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showGridLines="0" zoomScale="80" zoomScaleNormal="80" workbookViewId="0">
      <selection activeCell="C55" sqref="C55"/>
    </sheetView>
  </sheetViews>
  <sheetFormatPr defaultColWidth="8.7109375" defaultRowHeight="14.45"/>
  <cols>
    <col min="1" max="1" width="25.140625" style="1" bestFit="1" customWidth="1"/>
    <col min="2" max="2" width="6.28515625" style="1" bestFit="1" customWidth="1"/>
    <col min="3" max="4" width="16" style="1" bestFit="1" customWidth="1"/>
    <col min="5" max="5" width="6.42578125" style="1" bestFit="1" customWidth="1"/>
    <col min="6" max="6" width="29.5703125" style="1" bestFit="1" customWidth="1"/>
    <col min="7" max="7" width="15.85546875" style="1" bestFit="1" customWidth="1"/>
    <col min="8" max="8" width="39.5703125" style="1" bestFit="1" customWidth="1"/>
    <col min="9" max="9" width="23.7109375" style="8" bestFit="1" customWidth="1"/>
    <col min="10" max="16384" width="8.7109375" style="1"/>
  </cols>
  <sheetData>
    <row r="1" spans="1:9">
      <c r="A1" s="1" t="s">
        <v>0</v>
      </c>
      <c r="H1" s="1" t="s">
        <v>1</v>
      </c>
    </row>
    <row r="2" spans="1: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</row>
    <row r="3" spans="1:9">
      <c r="A3" s="3" t="s">
        <v>11</v>
      </c>
      <c r="B3" s="3"/>
      <c r="C3" s="4">
        <v>46209.731608796297</v>
      </c>
      <c r="D3" s="4">
        <v>46209.895162037035</v>
      </c>
      <c r="E3" s="3" t="s">
        <v>12</v>
      </c>
      <c r="F3" s="3" t="s">
        <v>13</v>
      </c>
      <c r="G3" s="3" t="s">
        <v>14</v>
      </c>
      <c r="H3" s="5" t="s">
        <v>15</v>
      </c>
      <c r="I3" s="9">
        <v>3</v>
      </c>
    </row>
    <row r="4" spans="1:9">
      <c r="A4" s="3" t="s">
        <v>16</v>
      </c>
      <c r="B4" s="3"/>
      <c r="C4" s="4">
        <v>46209.748703703706</v>
      </c>
      <c r="D4" s="4">
        <v>46209.895150462966</v>
      </c>
      <c r="E4" s="3" t="s">
        <v>12</v>
      </c>
      <c r="F4" s="3" t="s">
        <v>17</v>
      </c>
      <c r="G4" s="3" t="s">
        <v>14</v>
      </c>
      <c r="H4" s="5" t="s">
        <v>18</v>
      </c>
      <c r="I4" s="9">
        <v>1</v>
      </c>
    </row>
    <row r="5" spans="1:9">
      <c r="A5" s="3" t="s">
        <v>19</v>
      </c>
      <c r="B5" s="3"/>
      <c r="C5" s="4">
        <v>46209.752071759256</v>
      </c>
      <c r="D5" s="4">
        <v>46209.895115740743</v>
      </c>
      <c r="E5" s="3" t="s">
        <v>12</v>
      </c>
      <c r="F5" s="3" t="s">
        <v>17</v>
      </c>
      <c r="G5" s="3" t="s">
        <v>14</v>
      </c>
      <c r="H5" s="5" t="s">
        <v>20</v>
      </c>
      <c r="I5" s="9">
        <v>5</v>
      </c>
    </row>
    <row r="6" spans="1:9">
      <c r="A6" s="3" t="s">
        <v>21</v>
      </c>
      <c r="B6" s="3"/>
      <c r="C6" s="4">
        <v>46209.75403935185</v>
      </c>
      <c r="D6" s="4">
        <v>46209.895150462966</v>
      </c>
      <c r="E6" s="3" t="s">
        <v>12</v>
      </c>
      <c r="F6" s="3" t="s">
        <v>13</v>
      </c>
      <c r="G6" s="3" t="s">
        <v>14</v>
      </c>
      <c r="H6" s="5" t="s">
        <v>22</v>
      </c>
      <c r="I6" s="9">
        <v>2</v>
      </c>
    </row>
    <row r="7" spans="1:9">
      <c r="A7" s="3" t="s">
        <v>23</v>
      </c>
      <c r="B7" s="3"/>
      <c r="C7" s="4">
        <v>46209.755381944444</v>
      </c>
      <c r="D7" s="4">
        <v>46209.895150462966</v>
      </c>
      <c r="E7" s="3" t="s">
        <v>12</v>
      </c>
      <c r="F7" s="3" t="s">
        <v>13</v>
      </c>
      <c r="G7" s="3" t="s">
        <v>14</v>
      </c>
      <c r="H7" s="5" t="s">
        <v>24</v>
      </c>
      <c r="I7" s="9">
        <v>2</v>
      </c>
    </row>
    <row r="8" spans="1:9">
      <c r="A8" s="3" t="s">
        <v>25</v>
      </c>
      <c r="B8" s="3"/>
      <c r="C8" s="4">
        <v>46209.760023148148</v>
      </c>
      <c r="D8" s="4">
        <v>46209.815034722225</v>
      </c>
      <c r="E8" s="3" t="s">
        <v>12</v>
      </c>
      <c r="F8" s="3" t="s">
        <v>17</v>
      </c>
      <c r="G8" s="3" t="s">
        <v>14</v>
      </c>
      <c r="H8" s="6" t="s">
        <v>26</v>
      </c>
      <c r="I8" s="9">
        <v>2</v>
      </c>
    </row>
    <row r="9" spans="1:9">
      <c r="A9" s="3" t="s">
        <v>27</v>
      </c>
      <c r="B9" s="3"/>
      <c r="C9" s="4">
        <v>46209.799201388887</v>
      </c>
      <c r="D9" s="4">
        <v>46209.82371527778</v>
      </c>
      <c r="E9" s="3" t="s">
        <v>12</v>
      </c>
      <c r="F9" s="3" t="s">
        <v>13</v>
      </c>
      <c r="G9" s="3" t="s">
        <v>14</v>
      </c>
      <c r="H9" s="7" t="s">
        <v>28</v>
      </c>
      <c r="I9" s="9">
        <v>0</v>
      </c>
    </row>
    <row r="10" spans="1:9">
      <c r="H10" s="7" t="s">
        <v>29</v>
      </c>
      <c r="I10" s="9">
        <v>0</v>
      </c>
    </row>
    <row r="11" spans="1:9">
      <c r="A11" s="1" t="s">
        <v>30</v>
      </c>
      <c r="H11" s="5" t="s">
        <v>31</v>
      </c>
      <c r="I11" s="9">
        <v>2</v>
      </c>
    </row>
    <row r="12" spans="1:9">
      <c r="A12" s="2" t="s">
        <v>2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6" t="s">
        <v>32</v>
      </c>
      <c r="I12" s="9">
        <v>2</v>
      </c>
    </row>
    <row r="13" spans="1:9">
      <c r="A13" s="3" t="s">
        <v>11</v>
      </c>
      <c r="B13" s="3"/>
      <c r="C13" s="4">
        <v>46211.737662037034</v>
      </c>
      <c r="D13" s="4">
        <v>46211.883067129631</v>
      </c>
      <c r="E13" s="3" t="s">
        <v>12</v>
      </c>
      <c r="F13" s="3" t="s">
        <v>13</v>
      </c>
      <c r="G13" s="3" t="s">
        <v>14</v>
      </c>
      <c r="H13" s="7" t="s">
        <v>33</v>
      </c>
      <c r="I13" s="9">
        <v>0</v>
      </c>
    </row>
    <row r="14" spans="1:9">
      <c r="A14" s="3" t="s">
        <v>34</v>
      </c>
      <c r="B14" s="3"/>
      <c r="C14" s="4">
        <v>46211.746145833335</v>
      </c>
      <c r="D14" s="4">
        <v>46211.883055555554</v>
      </c>
      <c r="E14" s="3" t="s">
        <v>12</v>
      </c>
      <c r="F14" s="3" t="s">
        <v>13</v>
      </c>
      <c r="G14" s="3" t="s">
        <v>14</v>
      </c>
      <c r="H14" s="1" t="s">
        <v>35</v>
      </c>
    </row>
    <row r="15" spans="1:9">
      <c r="A15" s="3" t="s">
        <v>16</v>
      </c>
      <c r="B15" s="3"/>
      <c r="C15" s="4">
        <v>46211.749525462961</v>
      </c>
      <c r="D15" s="4">
        <v>46211.881215277775</v>
      </c>
      <c r="E15" s="3" t="s">
        <v>12</v>
      </c>
      <c r="F15" s="3" t="s">
        <v>17</v>
      </c>
      <c r="G15" s="3" t="s">
        <v>14</v>
      </c>
    </row>
    <row r="16" spans="1:9">
      <c r="A16" s="3" t="s">
        <v>27</v>
      </c>
      <c r="B16" s="3"/>
      <c r="C16" s="4">
        <v>46211.75037037037</v>
      </c>
      <c r="D16" s="4">
        <v>46211.80777777778</v>
      </c>
      <c r="E16" s="3" t="s">
        <v>12</v>
      </c>
      <c r="F16" s="3" t="s">
        <v>13</v>
      </c>
      <c r="G16" s="3" t="s">
        <v>14</v>
      </c>
    </row>
    <row r="17" spans="1:7">
      <c r="A17" s="3" t="s">
        <v>36</v>
      </c>
      <c r="B17" s="3"/>
      <c r="C17" s="4">
        <v>46211.78392361111</v>
      </c>
      <c r="D17" s="4">
        <v>46211.883055555554</v>
      </c>
      <c r="E17" s="3" t="s">
        <v>12</v>
      </c>
      <c r="F17" s="3" t="s">
        <v>17</v>
      </c>
      <c r="G17" s="3" t="s">
        <v>14</v>
      </c>
    </row>
    <row r="19" spans="1:7">
      <c r="A19" s="1" t="s">
        <v>37</v>
      </c>
    </row>
    <row r="20" spans="1:7">
      <c r="A20" s="2" t="s">
        <v>2</v>
      </c>
      <c r="B20" s="2" t="s">
        <v>3</v>
      </c>
      <c r="C20" s="2" t="s">
        <v>4</v>
      </c>
      <c r="D20" s="2" t="s">
        <v>5</v>
      </c>
      <c r="E20" s="2" t="s">
        <v>6</v>
      </c>
      <c r="F20" s="2" t="s">
        <v>7</v>
      </c>
      <c r="G20" s="2" t="s">
        <v>8</v>
      </c>
    </row>
    <row r="21" spans="1:7">
      <c r="A21" s="3" t="s">
        <v>11</v>
      </c>
      <c r="B21" s="3"/>
      <c r="C21" s="4">
        <v>46214.747083333335</v>
      </c>
      <c r="D21" s="4">
        <v>46214.883888888886</v>
      </c>
      <c r="E21" s="3" t="s">
        <v>12</v>
      </c>
      <c r="F21" s="3" t="s">
        <v>13</v>
      </c>
      <c r="G21" s="3" t="s">
        <v>14</v>
      </c>
    </row>
    <row r="22" spans="1:7">
      <c r="A22" s="3" t="s">
        <v>23</v>
      </c>
      <c r="B22" s="3"/>
      <c r="C22" s="4">
        <v>46214.754629629628</v>
      </c>
      <c r="D22" s="4">
        <v>46214.883761574078</v>
      </c>
      <c r="E22" s="3" t="s">
        <v>12</v>
      </c>
      <c r="F22" s="3" t="s">
        <v>13</v>
      </c>
      <c r="G22" s="3" t="s">
        <v>14</v>
      </c>
    </row>
    <row r="23" spans="1:7">
      <c r="A23" s="3" t="s">
        <v>36</v>
      </c>
      <c r="B23" s="3"/>
      <c r="C23" s="4">
        <v>46214.756469907406</v>
      </c>
      <c r="D23" s="4">
        <v>46214.85732638889</v>
      </c>
      <c r="E23" s="3" t="s">
        <v>12</v>
      </c>
      <c r="F23" s="3" t="s">
        <v>17</v>
      </c>
      <c r="G23" s="3" t="s">
        <v>14</v>
      </c>
    </row>
    <row r="24" spans="1:7">
      <c r="A24" s="3" t="s">
        <v>38</v>
      </c>
      <c r="B24" s="3"/>
      <c r="C24" s="4">
        <v>46214.759687500002</v>
      </c>
      <c r="D24" s="4">
        <v>46214.883877314816</v>
      </c>
      <c r="E24" s="3" t="s">
        <v>12</v>
      </c>
      <c r="F24" s="3" t="s">
        <v>13</v>
      </c>
      <c r="G24" s="3" t="s">
        <v>14</v>
      </c>
    </row>
    <row r="26" spans="1:7">
      <c r="A26" s="1" t="s">
        <v>39</v>
      </c>
    </row>
    <row r="27" spans="1:7">
      <c r="A27" s="2" t="s">
        <v>2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7</v>
      </c>
      <c r="G27" s="2" t="s">
        <v>8</v>
      </c>
    </row>
    <row r="28" spans="1:7">
      <c r="A28" s="3" t="s">
        <v>11</v>
      </c>
      <c r="B28" s="3"/>
      <c r="C28" s="4">
        <v>46216.744502314818</v>
      </c>
      <c r="D28" s="4">
        <v>46216.823657407411</v>
      </c>
      <c r="E28" s="3" t="s">
        <v>12</v>
      </c>
      <c r="F28" s="3" t="s">
        <v>13</v>
      </c>
      <c r="G28" s="3" t="s">
        <v>14</v>
      </c>
    </row>
    <row r="29" spans="1:7">
      <c r="A29" s="3" t="s">
        <v>36</v>
      </c>
      <c r="B29" s="3"/>
      <c r="C29" s="4">
        <v>46216.78266203704</v>
      </c>
      <c r="D29" s="4">
        <v>46216.823564814818</v>
      </c>
      <c r="E29" s="3" t="s">
        <v>12</v>
      </c>
      <c r="F29" s="3" t="s">
        <v>17</v>
      </c>
      <c r="G29" s="3" t="s">
        <v>14</v>
      </c>
    </row>
    <row r="30" spans="1:7">
      <c r="A30" s="3" t="s">
        <v>38</v>
      </c>
      <c r="B30" s="3"/>
      <c r="C30" s="4">
        <v>46216.804664351854</v>
      </c>
      <c r="D30" s="4">
        <v>46216.808425925927</v>
      </c>
      <c r="E30" s="3" t="s">
        <v>12</v>
      </c>
      <c r="F30" s="3" t="s">
        <v>13</v>
      </c>
      <c r="G30" s="3" t="s">
        <v>14</v>
      </c>
    </row>
    <row r="32" spans="1:7">
      <c r="A32" s="1" t="s">
        <v>40</v>
      </c>
    </row>
    <row r="33" spans="1:7">
      <c r="A33" s="2" t="s">
        <v>2</v>
      </c>
      <c r="B33" s="2" t="s">
        <v>3</v>
      </c>
      <c r="C33" s="2" t="s">
        <v>4</v>
      </c>
      <c r="D33" s="2" t="s">
        <v>5</v>
      </c>
      <c r="E33" s="2" t="s">
        <v>6</v>
      </c>
      <c r="F33" s="2" t="s">
        <v>7</v>
      </c>
      <c r="G33" s="2" t="s">
        <v>8</v>
      </c>
    </row>
    <row r="34" spans="1:7">
      <c r="A34" s="3" t="s">
        <v>11</v>
      </c>
      <c r="B34" s="3"/>
      <c r="C34" s="4">
        <v>46218.742488425924</v>
      </c>
      <c r="D34" s="4">
        <v>46218.864201388889</v>
      </c>
      <c r="E34" s="3" t="s">
        <v>12</v>
      </c>
      <c r="F34" s="3" t="s">
        <v>13</v>
      </c>
      <c r="G34" s="3" t="s">
        <v>14</v>
      </c>
    </row>
    <row r="35" spans="1:7">
      <c r="A35" s="3" t="s">
        <v>27</v>
      </c>
      <c r="B35" s="3"/>
      <c r="C35" s="4">
        <v>46218.788159722222</v>
      </c>
      <c r="D35" s="4">
        <v>46218.791956018518</v>
      </c>
      <c r="E35" s="3" t="s">
        <v>12</v>
      </c>
      <c r="F35" s="3" t="s">
        <v>13</v>
      </c>
      <c r="G35" s="3" t="s">
        <v>14</v>
      </c>
    </row>
    <row r="37" spans="1:7">
      <c r="A37" s="1" t="s">
        <v>41</v>
      </c>
    </row>
    <row r="38" spans="1:7">
      <c r="A38" s="2" t="s">
        <v>2</v>
      </c>
      <c r="B38" s="2" t="s">
        <v>3</v>
      </c>
      <c r="C38" s="2" t="s">
        <v>4</v>
      </c>
      <c r="D38" s="2" t="s">
        <v>5</v>
      </c>
      <c r="E38" s="2" t="s">
        <v>6</v>
      </c>
      <c r="F38" s="2" t="s">
        <v>7</v>
      </c>
      <c r="G38" s="2" t="s">
        <v>8</v>
      </c>
    </row>
    <row r="39" spans="1:7">
      <c r="A39" s="3" t="s">
        <v>16</v>
      </c>
      <c r="B39" s="3"/>
      <c r="C39" s="4">
        <v>46221.747557870367</v>
      </c>
      <c r="D39" s="4">
        <v>46221.749548611115</v>
      </c>
      <c r="E39" s="3" t="s">
        <v>12</v>
      </c>
      <c r="F39" s="3" t="s">
        <v>17</v>
      </c>
      <c r="G39" s="3" t="s">
        <v>14</v>
      </c>
    </row>
    <row r="40" spans="1:7">
      <c r="A40" s="3" t="s">
        <v>11</v>
      </c>
      <c r="B40" s="3"/>
      <c r="C40" s="4">
        <v>46221.749907407408</v>
      </c>
      <c r="D40" s="4">
        <v>46221.866840277777</v>
      </c>
      <c r="E40" s="3" t="s">
        <v>12</v>
      </c>
      <c r="F40" s="3" t="s">
        <v>13</v>
      </c>
      <c r="G40" s="3" t="s">
        <v>14</v>
      </c>
    </row>
    <row r="41" spans="1:7">
      <c r="A41" s="3" t="s">
        <v>38</v>
      </c>
      <c r="B41" s="3"/>
      <c r="C41" s="4">
        <v>46221.756550925929</v>
      </c>
      <c r="D41" s="4">
        <v>46221.866840277777</v>
      </c>
      <c r="E41" s="3" t="s">
        <v>12</v>
      </c>
      <c r="F41" s="3" t="s">
        <v>13</v>
      </c>
      <c r="G41" s="3" t="s">
        <v>14</v>
      </c>
    </row>
    <row r="43" spans="1:7">
      <c r="A43" s="1" t="s">
        <v>42</v>
      </c>
    </row>
    <row r="44" spans="1:7">
      <c r="A44" s="2" t="str">
        <f>[1]participants_94352435114_2026_0!A1</f>
        <v>Name (original name)</v>
      </c>
      <c r="B44" s="2" t="str">
        <f>[1]participants_94352435114_2026_0!B1</f>
        <v>Email</v>
      </c>
      <c r="C44" s="2" t="str">
        <f>[1]participants_94352435114_2026_0!C1</f>
        <v>Join time</v>
      </c>
      <c r="D44" s="2" t="str">
        <f>[1]participants_94352435114_2026_0!D1</f>
        <v>Leave time</v>
      </c>
      <c r="E44" s="2" t="str">
        <f>[1]participants_94352435114_2026_0!E1</f>
        <v>Guest</v>
      </c>
      <c r="F44" s="2" t="str">
        <f>[1]participants_94352435114_2026_0!F1</f>
        <v>Recording disclaimer response</v>
      </c>
      <c r="G44" s="2" t="str">
        <f>[1]participants_94352435114_2026_0!G1</f>
        <v>In waiting room</v>
      </c>
    </row>
    <row r="45" spans="1:7">
      <c r="A45" s="3" t="str">
        <f>[1]participants_94352435114_2026_0!A2</f>
        <v>MEDHAT YEHIA</v>
      </c>
      <c r="B45" s="3" t="e">
        <f>[1]participants_94352435114_2026_0!B2</f>
        <v>#REF!</v>
      </c>
      <c r="C45" s="13">
        <f>[1]participants_94352435114_2026_0!C2</f>
        <v>46223.741006944445</v>
      </c>
      <c r="D45" s="13">
        <f>[1]participants_94352435114_2026_0!D2</f>
        <v>46223.853032407409</v>
      </c>
      <c r="E45" s="3" t="str">
        <f>[1]participants_94352435114_2026_0!E2</f>
        <v>Yes</v>
      </c>
      <c r="F45" s="3" t="str">
        <f>[1]participants_94352435114_2026_0!F2</f>
        <v>OK</v>
      </c>
      <c r="G45" s="3" t="str">
        <f>[1]participants_94352435114_2026_0!G2</f>
        <v>No</v>
      </c>
    </row>
    <row r="46" spans="1:7">
      <c r="A46" s="3" t="str">
        <f>[1]participants_94352435114_2026_0!A3</f>
        <v>ahmed samir</v>
      </c>
      <c r="B46" s="3" t="e">
        <f>[1]participants_94352435114_2026_0!B3</f>
        <v>#REF!</v>
      </c>
      <c r="C46" s="13">
        <f>[1]participants_94352435114_2026_0!C3</f>
        <v>46223.749710648146</v>
      </c>
      <c r="D46" s="13">
        <f>[1]participants_94352435114_2026_0!D3</f>
        <v>46223.85083333333</v>
      </c>
      <c r="E46" s="3" t="str">
        <f>[1]participants_94352435114_2026_0!E3</f>
        <v>Yes</v>
      </c>
      <c r="F46" s="3" t="str">
        <f>[1]participants_94352435114_2026_0!F3</f>
        <v>OK</v>
      </c>
      <c r="G46" s="3" t="str">
        <f>[1]participants_94352435114_2026_0!G3</f>
        <v>No</v>
      </c>
    </row>
    <row r="48" spans="1:7">
      <c r="A48" s="1" t="s">
        <v>43</v>
      </c>
    </row>
    <row r="49" spans="1:8">
      <c r="A49" s="2" t="str">
        <f t="shared" ref="A49:G49" si="0">A44</f>
        <v>Name (original name)</v>
      </c>
      <c r="B49" s="2" t="str">
        <f t="shared" si="0"/>
        <v>Email</v>
      </c>
      <c r="C49" s="2" t="str">
        <f t="shared" si="0"/>
        <v>Join time</v>
      </c>
      <c r="D49" s="2" t="str">
        <f t="shared" si="0"/>
        <v>Leave time</v>
      </c>
      <c r="E49" s="2" t="str">
        <f t="shared" si="0"/>
        <v>Guest</v>
      </c>
      <c r="F49" s="2" t="str">
        <f t="shared" si="0"/>
        <v>Recording disclaimer response</v>
      </c>
      <c r="G49" s="2" t="str">
        <f t="shared" si="0"/>
        <v>In waiting room</v>
      </c>
    </row>
    <row r="50" spans="1:8">
      <c r="A50" s="3" t="s">
        <v>44</v>
      </c>
      <c r="B50" s="3" t="s">
        <v>45</v>
      </c>
      <c r="C50" s="3" t="s">
        <v>46</v>
      </c>
      <c r="D50" s="3" t="s">
        <v>45</v>
      </c>
      <c r="E50" s="3" t="s">
        <v>45</v>
      </c>
      <c r="F50" s="3" t="s">
        <v>47</v>
      </c>
      <c r="G50" s="3" t="s">
        <v>45</v>
      </c>
      <c r="H50" s="12" t="s">
        <v>48</v>
      </c>
    </row>
    <row r="52" spans="1:8">
      <c r="A52" s="1" t="s">
        <v>49</v>
      </c>
    </row>
    <row r="53" spans="1:8">
      <c r="A53" s="3" t="str">
        <f t="shared" ref="A53:G54" si="1">A49</f>
        <v>Name (original name)</v>
      </c>
      <c r="B53" s="3" t="str">
        <f t="shared" si="1"/>
        <v>Email</v>
      </c>
      <c r="C53" s="3" t="str">
        <f t="shared" si="1"/>
        <v>Join time</v>
      </c>
      <c r="D53" s="3" t="str">
        <f t="shared" si="1"/>
        <v>Leave time</v>
      </c>
      <c r="E53" s="3" t="str">
        <f t="shared" si="1"/>
        <v>Guest</v>
      </c>
      <c r="F53" s="3" t="str">
        <f t="shared" si="1"/>
        <v>Recording disclaimer response</v>
      </c>
      <c r="G53" s="3" t="str">
        <f t="shared" si="1"/>
        <v>In waiting room</v>
      </c>
    </row>
    <row r="54" spans="1:8">
      <c r="A54" s="3" t="str">
        <f>A50</f>
        <v>_____</v>
      </c>
      <c r="B54" s="3" t="str">
        <f t="shared" si="1"/>
        <v>___</v>
      </c>
      <c r="C54" s="3" t="str">
        <f t="shared" si="1"/>
        <v>__</v>
      </c>
      <c r="D54" s="3" t="str">
        <f t="shared" si="1"/>
        <v>___</v>
      </c>
      <c r="E54" s="3" t="str">
        <f t="shared" si="1"/>
        <v>___</v>
      </c>
      <c r="F54" s="3" t="str">
        <f t="shared" si="1"/>
        <v>______</v>
      </c>
      <c r="G54" s="3" t="str">
        <f t="shared" si="1"/>
        <v>___</v>
      </c>
      <c r="H54" s="12" t="s">
        <v>50</v>
      </c>
    </row>
    <row r="56" spans="1:8">
      <c r="A56" s="1" t="s">
        <v>51</v>
      </c>
    </row>
    <row r="57" spans="1:8">
      <c r="A57" s="2" t="s">
        <v>2</v>
      </c>
      <c r="B57" s="2" t="s">
        <v>3</v>
      </c>
      <c r="C57" s="2" t="s">
        <v>4</v>
      </c>
      <c r="D57" s="2" t="s">
        <v>5</v>
      </c>
      <c r="E57" s="2" t="s">
        <v>6</v>
      </c>
      <c r="F57" s="2" t="s">
        <v>7</v>
      </c>
      <c r="G57" s="2" t="s">
        <v>8</v>
      </c>
    </row>
    <row r="58" spans="1:8">
      <c r="A58" s="3" t="s">
        <v>52</v>
      </c>
      <c r="B58" s="3">
        <v>0</v>
      </c>
      <c r="C58" s="13">
        <v>46228.741006944445</v>
      </c>
      <c r="D58" s="13">
        <v>46228.853032407409</v>
      </c>
      <c r="E58" s="3" t="s">
        <v>12</v>
      </c>
      <c r="F58" s="3" t="s">
        <v>13</v>
      </c>
      <c r="G58" s="3" t="s">
        <v>14</v>
      </c>
    </row>
    <row r="61" spans="1:8" ht="16.5">
      <c r="A61" s="15" t="s">
        <v>53</v>
      </c>
      <c r="B61" s="15"/>
      <c r="C61" s="15"/>
      <c r="D61" s="15"/>
      <c r="E61" s="15"/>
      <c r="F61" s="15"/>
      <c r="G61" s="15"/>
    </row>
    <row r="62" spans="1:8" ht="16.5">
      <c r="A62" s="16" t="s">
        <v>2</v>
      </c>
      <c r="B62" s="17" t="s">
        <v>3</v>
      </c>
      <c r="C62" s="17" t="s">
        <v>4</v>
      </c>
      <c r="D62" s="17" t="s">
        <v>5</v>
      </c>
      <c r="E62" s="17" t="s">
        <v>6</v>
      </c>
      <c r="F62" s="17" t="s">
        <v>7</v>
      </c>
      <c r="G62" s="17" t="s">
        <v>8</v>
      </c>
    </row>
    <row r="63" spans="1:8" ht="16.5">
      <c r="A63" s="18" t="s">
        <v>54</v>
      </c>
      <c r="B63" s="19">
        <v>0</v>
      </c>
      <c r="C63" s="19" t="s">
        <v>55</v>
      </c>
      <c r="D63" s="19" t="s">
        <v>55</v>
      </c>
      <c r="E63" s="19" t="s">
        <v>55</v>
      </c>
      <c r="F63" s="19" t="s">
        <v>55</v>
      </c>
      <c r="G63" s="19" t="s">
        <v>55</v>
      </c>
    </row>
    <row r="64" spans="1:8" ht="16.5">
      <c r="A64" s="15"/>
      <c r="B64" s="15"/>
      <c r="C64" s="15"/>
      <c r="D64" s="15"/>
      <c r="E64" s="15"/>
      <c r="F64" s="15"/>
      <c r="G64" s="15"/>
    </row>
    <row r="65" spans="1:7" ht="16.5">
      <c r="A65" s="15" t="s">
        <v>56</v>
      </c>
      <c r="B65" s="15"/>
      <c r="C65" s="15"/>
      <c r="D65" s="15"/>
      <c r="E65" s="15"/>
      <c r="F65" s="15"/>
      <c r="G65" s="15"/>
    </row>
    <row r="66" spans="1:7" ht="16.5">
      <c r="A66" s="20" t="s">
        <v>2</v>
      </c>
      <c r="B66" s="21" t="s">
        <v>3</v>
      </c>
      <c r="C66" s="21" t="s">
        <v>4</v>
      </c>
      <c r="D66" s="21" t="s">
        <v>5</v>
      </c>
      <c r="E66" s="21" t="s">
        <v>6</v>
      </c>
      <c r="F66" s="21" t="s">
        <v>7</v>
      </c>
      <c r="G66" s="21" t="s">
        <v>8</v>
      </c>
    </row>
    <row r="67" spans="1:7" ht="16.5">
      <c r="A67" s="18" t="s">
        <v>11</v>
      </c>
      <c r="B67" s="19" t="s">
        <v>55</v>
      </c>
      <c r="C67" s="22">
        <v>46232</v>
      </c>
      <c r="D67" s="22">
        <v>46232</v>
      </c>
      <c r="E67" s="19" t="s">
        <v>12</v>
      </c>
      <c r="F67" s="19" t="s">
        <v>13</v>
      </c>
      <c r="G67" s="19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"/>
  <sheetViews>
    <sheetView showGridLines="0" tabSelected="1" topLeftCell="B1" workbookViewId="0">
      <selection activeCell="R22" sqref="R22"/>
    </sheetView>
  </sheetViews>
  <sheetFormatPr defaultColWidth="8.7109375" defaultRowHeight="14.45"/>
  <cols>
    <col min="1" max="1" width="40" style="1" customWidth="1"/>
    <col min="2" max="2" width="13.28515625" customWidth="1"/>
    <col min="3" max="3" width="13" customWidth="1"/>
    <col min="4" max="4" width="11.42578125" customWidth="1"/>
    <col min="5" max="5" width="12.85546875" customWidth="1"/>
    <col min="6" max="6" width="13.140625" customWidth="1"/>
    <col min="7" max="7" width="11.28515625" customWidth="1"/>
    <col min="8" max="8" width="11.140625" customWidth="1"/>
    <col min="9" max="9" width="12.85546875" customWidth="1"/>
    <col min="10" max="10" width="12.5703125" customWidth="1"/>
    <col min="11" max="11" width="13.140625" customWidth="1"/>
    <col min="12" max="13" width="9.42578125" customWidth="1"/>
    <col min="14" max="14" width="13.5703125" style="1" customWidth="1"/>
    <col min="15" max="15" width="12.140625" style="50" customWidth="1"/>
    <col min="16" max="16384" width="8.7109375" style="1"/>
  </cols>
  <sheetData>
    <row r="1" spans="1:18" ht="56.25" customHeight="1">
      <c r="A1" s="33" t="s">
        <v>57</v>
      </c>
      <c r="B1" s="34" t="s">
        <v>58</v>
      </c>
      <c r="C1" s="34" t="s">
        <v>59</v>
      </c>
      <c r="D1" s="34" t="s">
        <v>60</v>
      </c>
      <c r="E1" s="34" t="s">
        <v>61</v>
      </c>
      <c r="F1" s="43" t="s">
        <v>62</v>
      </c>
      <c r="G1" s="43" t="s">
        <v>63</v>
      </c>
      <c r="H1" s="43" t="s">
        <v>64</v>
      </c>
      <c r="I1" s="43" t="s">
        <v>65</v>
      </c>
      <c r="J1" s="43" t="s">
        <v>66</v>
      </c>
      <c r="K1" s="44" t="s">
        <v>67</v>
      </c>
      <c r="L1" s="35" t="s">
        <v>68</v>
      </c>
      <c r="M1" s="48" t="s">
        <v>69</v>
      </c>
      <c r="N1" s="47" t="s">
        <v>70</v>
      </c>
      <c r="O1" s="49" t="s">
        <v>71</v>
      </c>
    </row>
    <row r="2" spans="1:18" ht="16.5">
      <c r="A2" s="5" t="s">
        <v>15</v>
      </c>
      <c r="B2" s="24">
        <v>1</v>
      </c>
      <c r="C2" s="24">
        <v>1</v>
      </c>
      <c r="D2" s="25">
        <v>0</v>
      </c>
      <c r="E2" s="25">
        <v>0</v>
      </c>
      <c r="F2" s="24">
        <v>1</v>
      </c>
      <c r="G2" s="26">
        <v>0</v>
      </c>
      <c r="H2" s="26">
        <v>0</v>
      </c>
      <c r="I2" s="24" t="s">
        <v>72</v>
      </c>
      <c r="J2" s="24" t="s">
        <v>72</v>
      </c>
      <c r="K2" s="25">
        <v>0</v>
      </c>
      <c r="L2" s="32"/>
      <c r="M2" s="39">
        <v>0</v>
      </c>
      <c r="N2" s="38">
        <f>SUM(B2:M2)</f>
        <v>3</v>
      </c>
      <c r="O2" s="51">
        <f>COUNTIF(B2:M2,1)/(COUNTIF(B2:M2,1)+COUNTIF(B2:M2,0)) *100</f>
        <v>33.333333333333329</v>
      </c>
    </row>
    <row r="3" spans="1:18" ht="16.5">
      <c r="A3" s="5" t="s">
        <v>18</v>
      </c>
      <c r="B3" s="27">
        <v>1</v>
      </c>
      <c r="C3" s="26">
        <v>0</v>
      </c>
      <c r="D3" s="26">
        <v>0</v>
      </c>
      <c r="E3" s="25">
        <v>0</v>
      </c>
      <c r="F3" s="26">
        <v>0</v>
      </c>
      <c r="G3" s="26">
        <v>0</v>
      </c>
      <c r="H3" s="26">
        <v>0</v>
      </c>
      <c r="I3" s="24" t="s">
        <v>72</v>
      </c>
      <c r="J3" s="24" t="s">
        <v>72</v>
      </c>
      <c r="K3" s="25">
        <v>0</v>
      </c>
      <c r="L3" s="3"/>
      <c r="M3" s="40">
        <v>0</v>
      </c>
      <c r="N3" s="38">
        <f t="shared" ref="N3:N12" si="0">SUM(B3:M3)</f>
        <v>1</v>
      </c>
      <c r="O3" s="51">
        <f t="shared" ref="O3:O12" si="1">COUNTIF(B3:M3,1)/(COUNTIF(B3:M3,1)+COUNTIF(B3:M3,0)) *100</f>
        <v>11.111111111111111</v>
      </c>
      <c r="P3" s="46"/>
    </row>
    <row r="4" spans="1:18" ht="16.5">
      <c r="A4" s="5" t="s">
        <v>20</v>
      </c>
      <c r="B4" s="27">
        <v>1</v>
      </c>
      <c r="C4" s="27">
        <v>1</v>
      </c>
      <c r="D4" s="27">
        <v>1</v>
      </c>
      <c r="E4" s="27">
        <v>1</v>
      </c>
      <c r="F4" s="27">
        <v>1</v>
      </c>
      <c r="G4" s="27">
        <v>1</v>
      </c>
      <c r="H4" s="27">
        <v>1</v>
      </c>
      <c r="I4" s="24" t="s">
        <v>72</v>
      </c>
      <c r="J4" s="24" t="s">
        <v>72</v>
      </c>
      <c r="K4" s="27">
        <v>1</v>
      </c>
      <c r="L4" s="3"/>
      <c r="M4" s="41">
        <v>1</v>
      </c>
      <c r="N4" s="38">
        <f t="shared" si="0"/>
        <v>9</v>
      </c>
      <c r="O4" s="51">
        <f t="shared" si="1"/>
        <v>100</v>
      </c>
    </row>
    <row r="5" spans="1:18" ht="16.5">
      <c r="A5" s="5" t="s">
        <v>22</v>
      </c>
      <c r="B5" s="26">
        <v>0</v>
      </c>
      <c r="C5" s="26">
        <v>0</v>
      </c>
      <c r="D5" s="27">
        <v>1</v>
      </c>
      <c r="E5" s="27">
        <v>1</v>
      </c>
      <c r="F5" s="26">
        <v>0</v>
      </c>
      <c r="G5" s="27">
        <v>1</v>
      </c>
      <c r="H5" s="27">
        <v>1</v>
      </c>
      <c r="I5" s="24" t="s">
        <v>72</v>
      </c>
      <c r="J5" s="24" t="s">
        <v>72</v>
      </c>
      <c r="K5" s="28">
        <v>0</v>
      </c>
      <c r="L5" s="3"/>
      <c r="M5" s="40">
        <v>0</v>
      </c>
      <c r="N5" s="38">
        <f t="shared" si="0"/>
        <v>4</v>
      </c>
      <c r="O5" s="51">
        <f t="shared" si="1"/>
        <v>44.444444444444443</v>
      </c>
    </row>
    <row r="6" spans="1:18" ht="16.5">
      <c r="A6" s="5" t="s">
        <v>24</v>
      </c>
      <c r="B6" s="29">
        <v>1</v>
      </c>
      <c r="C6" s="27">
        <v>1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4" t="s">
        <v>72</v>
      </c>
      <c r="J6" s="24" t="s">
        <v>72</v>
      </c>
      <c r="K6" s="28">
        <v>0</v>
      </c>
      <c r="L6" s="3"/>
      <c r="M6" s="40">
        <v>0</v>
      </c>
      <c r="N6" s="38">
        <f t="shared" si="0"/>
        <v>2</v>
      </c>
      <c r="O6" s="51">
        <f t="shared" si="1"/>
        <v>22.222222222222221</v>
      </c>
      <c r="R6" s="45"/>
    </row>
    <row r="7" spans="1:18" ht="16.5">
      <c r="A7" s="5" t="s">
        <v>26</v>
      </c>
      <c r="B7" s="27">
        <v>1</v>
      </c>
      <c r="C7" s="26">
        <v>0</v>
      </c>
      <c r="D7" s="27">
        <v>1</v>
      </c>
      <c r="E7" s="26">
        <v>0</v>
      </c>
      <c r="F7" s="26">
        <v>0</v>
      </c>
      <c r="G7" s="26">
        <v>0</v>
      </c>
      <c r="H7" s="26">
        <v>0</v>
      </c>
      <c r="I7" s="24" t="s">
        <v>72</v>
      </c>
      <c r="J7" s="24" t="s">
        <v>72</v>
      </c>
      <c r="K7" s="28">
        <v>0</v>
      </c>
      <c r="L7" s="3"/>
      <c r="M7" s="40">
        <v>0</v>
      </c>
      <c r="N7" s="38">
        <f t="shared" si="0"/>
        <v>2</v>
      </c>
      <c r="O7" s="51">
        <f t="shared" si="1"/>
        <v>22.222222222222221</v>
      </c>
    </row>
    <row r="8" spans="1:18" ht="16.5">
      <c r="A8" s="5" t="s">
        <v>28</v>
      </c>
      <c r="B8" s="26">
        <v>0</v>
      </c>
      <c r="C8" s="26">
        <v>0</v>
      </c>
      <c r="D8" s="26">
        <v>0</v>
      </c>
      <c r="E8" s="26">
        <v>0</v>
      </c>
      <c r="F8" s="26">
        <v>0</v>
      </c>
      <c r="G8" s="26">
        <v>0</v>
      </c>
      <c r="H8" s="26">
        <v>0</v>
      </c>
      <c r="I8" s="24" t="s">
        <v>72</v>
      </c>
      <c r="J8" s="24" t="s">
        <v>72</v>
      </c>
      <c r="K8" s="28">
        <v>0</v>
      </c>
      <c r="L8" s="3"/>
      <c r="M8" s="40">
        <v>0</v>
      </c>
      <c r="N8" s="38">
        <f t="shared" si="0"/>
        <v>0</v>
      </c>
      <c r="O8" s="51">
        <f t="shared" si="1"/>
        <v>0</v>
      </c>
    </row>
    <row r="9" spans="1:18" ht="16.5">
      <c r="A9" s="5" t="s">
        <v>29</v>
      </c>
      <c r="B9" s="26">
        <v>0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4" t="s">
        <v>72</v>
      </c>
      <c r="J9" s="24" t="s">
        <v>72</v>
      </c>
      <c r="K9" s="28">
        <v>0</v>
      </c>
      <c r="L9" s="3"/>
      <c r="M9" s="40">
        <v>0</v>
      </c>
      <c r="N9" s="38">
        <f t="shared" si="0"/>
        <v>0</v>
      </c>
      <c r="O9" s="51">
        <f t="shared" si="1"/>
        <v>0</v>
      </c>
    </row>
    <row r="10" spans="1:18" ht="16.5">
      <c r="A10" s="5" t="s">
        <v>31</v>
      </c>
      <c r="B10" s="27">
        <v>1</v>
      </c>
      <c r="C10" s="27">
        <v>1</v>
      </c>
      <c r="D10" s="27">
        <v>1</v>
      </c>
      <c r="E10" s="27">
        <v>1</v>
      </c>
      <c r="F10" s="26">
        <v>0</v>
      </c>
      <c r="G10" s="26">
        <v>0</v>
      </c>
      <c r="H10" s="26">
        <v>0</v>
      </c>
      <c r="I10" s="24" t="s">
        <v>72</v>
      </c>
      <c r="J10" s="24" t="s">
        <v>72</v>
      </c>
      <c r="K10" s="28">
        <v>0</v>
      </c>
      <c r="L10" s="3"/>
      <c r="M10" s="40">
        <v>0</v>
      </c>
      <c r="N10" s="38">
        <f t="shared" si="0"/>
        <v>4</v>
      </c>
      <c r="O10" s="51">
        <f t="shared" si="1"/>
        <v>44.444444444444443</v>
      </c>
    </row>
    <row r="11" spans="1:18" ht="16.5">
      <c r="A11" s="5" t="s">
        <v>32</v>
      </c>
      <c r="B11" s="27">
        <v>1</v>
      </c>
      <c r="C11" s="27">
        <v>1</v>
      </c>
      <c r="D11" s="26">
        <v>0</v>
      </c>
      <c r="E11" s="26">
        <v>0</v>
      </c>
      <c r="F11" s="26">
        <v>0</v>
      </c>
      <c r="G11" s="27">
        <v>1</v>
      </c>
      <c r="H11" s="26">
        <v>0</v>
      </c>
      <c r="I11" s="24" t="s">
        <v>72</v>
      </c>
      <c r="J11" s="24" t="s">
        <v>72</v>
      </c>
      <c r="K11" s="28">
        <v>0</v>
      </c>
      <c r="L11" s="3"/>
      <c r="M11" s="40">
        <v>0</v>
      </c>
      <c r="N11" s="38">
        <f t="shared" si="0"/>
        <v>3</v>
      </c>
      <c r="O11" s="51">
        <f t="shared" si="1"/>
        <v>33.333333333333329</v>
      </c>
    </row>
    <row r="12" spans="1:18" ht="18" customHeight="1">
      <c r="A12" s="5" t="s">
        <v>33</v>
      </c>
      <c r="B12" s="30">
        <v>0</v>
      </c>
      <c r="C12" s="30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31" t="s">
        <v>72</v>
      </c>
      <c r="J12" s="31" t="s">
        <v>72</v>
      </c>
      <c r="K12" s="28">
        <v>0</v>
      </c>
      <c r="L12" s="14"/>
      <c r="M12" s="42">
        <v>0</v>
      </c>
      <c r="N12" s="38">
        <f t="shared" si="0"/>
        <v>0</v>
      </c>
      <c r="O12" s="51">
        <f t="shared" si="1"/>
        <v>0</v>
      </c>
    </row>
    <row r="13" spans="1:18" ht="16.5">
      <c r="M13" s="37"/>
      <c r="N13" s="36"/>
      <c r="O13" s="52"/>
    </row>
    <row r="14" spans="1:18" ht="16.5">
      <c r="M14" s="37"/>
      <c r="N14" s="36"/>
      <c r="O14" s="52"/>
    </row>
    <row r="15" spans="1:18" ht="16.5">
      <c r="M15" s="37"/>
      <c r="N15" s="36"/>
    </row>
    <row r="16" spans="1:18" ht="16.5">
      <c r="B16" s="23"/>
      <c r="M16" s="37"/>
      <c r="N16" s="36"/>
    </row>
    <row r="18" spans="12:12">
      <c r="L18" t="s">
        <v>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Malak</dc:creator>
  <cp:keywords/>
  <dc:description/>
  <cp:lastModifiedBy>Guest User</cp:lastModifiedBy>
  <cp:revision/>
  <dcterms:created xsi:type="dcterms:W3CDTF">2026-07-15T16:27:47Z</dcterms:created>
  <dcterms:modified xsi:type="dcterms:W3CDTF">2026-08-09T17:20:03Z</dcterms:modified>
  <cp:category/>
  <cp:contentStatus/>
</cp:coreProperties>
</file>