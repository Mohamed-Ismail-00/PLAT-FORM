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C:\Users\Malak\Desktop\Innovera\Academy\Courses Attendance\"/>
    </mc:Choice>
  </mc:AlternateContent>
  <xr:revisionPtr revIDLastSave="453" documentId="11_3590785FAB998BFF63CD849CAB4DD82AE302058F" xr6:coauthVersionLast="47" xr6:coauthVersionMax="47" xr10:uidLastSave="{0CD20CA5-CEDA-4D28-9CD2-20A5D44A690A}"/>
  <bookViews>
    <workbookView xWindow="0" yWindow="0" windowWidth="19200" windowHeight="6930" firstSheet="1" activeTab="1" xr2:uid="{00000000-000D-0000-FFFF-FFFF00000000}"/>
  </bookViews>
  <sheets>
    <sheet name="Sheet1" sheetId="1" r:id="rId1"/>
    <sheet name="Sheet2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Sheet1!$A$1:$C$65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L18" i="2"/>
  <c r="L19" i="2"/>
  <c r="L20" i="2"/>
  <c r="L21" i="2"/>
  <c r="L22" i="2"/>
  <c r="L23" i="2"/>
  <c r="L24" i="2"/>
  <c r="L25" i="2"/>
  <c r="L26" i="2"/>
  <c r="L27" i="2"/>
  <c r="L28" i="2"/>
  <c r="L29" i="2"/>
  <c r="L12" i="2"/>
  <c r="L13" i="2"/>
  <c r="L14" i="2"/>
  <c r="L15" i="2"/>
  <c r="L16" i="2"/>
  <c r="L17" i="2"/>
  <c r="L3" i="2"/>
  <c r="L4" i="2"/>
  <c r="L5" i="2"/>
  <c r="L6" i="2"/>
  <c r="L7" i="2"/>
  <c r="L8" i="2"/>
  <c r="L9" i="2"/>
  <c r="L10" i="2"/>
  <c r="L11" i="2"/>
  <c r="K2" i="2"/>
  <c r="K3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9" i="2"/>
  <c r="K4" i="2"/>
  <c r="K5" i="2"/>
  <c r="A127" i="1"/>
  <c r="A60" i="1"/>
  <c r="A59" i="1"/>
  <c r="A117" i="1"/>
  <c r="B117" i="1"/>
  <c r="C117" i="1"/>
  <c r="D117" i="1"/>
  <c r="E117" i="1"/>
  <c r="F117" i="1"/>
  <c r="G117" i="1"/>
  <c r="A118" i="1"/>
  <c r="B118" i="1"/>
  <c r="C118" i="1"/>
  <c r="D118" i="1"/>
  <c r="E118" i="1"/>
  <c r="F118" i="1"/>
  <c r="G118" i="1"/>
  <c r="A119" i="1"/>
  <c r="B119" i="1"/>
  <c r="C119" i="1"/>
  <c r="D119" i="1"/>
  <c r="E119" i="1"/>
  <c r="F119" i="1"/>
  <c r="G119" i="1"/>
  <c r="A120" i="1"/>
  <c r="B120" i="1"/>
  <c r="C120" i="1"/>
  <c r="D120" i="1"/>
  <c r="E120" i="1"/>
  <c r="F120" i="1"/>
  <c r="G120" i="1"/>
  <c r="A121" i="1"/>
  <c r="B121" i="1"/>
  <c r="C121" i="1"/>
  <c r="D121" i="1"/>
  <c r="E121" i="1"/>
  <c r="F121" i="1"/>
  <c r="G121" i="1"/>
  <c r="A122" i="1"/>
  <c r="B122" i="1"/>
  <c r="C122" i="1"/>
  <c r="D122" i="1"/>
  <c r="E122" i="1"/>
  <c r="F122" i="1"/>
  <c r="G122" i="1"/>
  <c r="A123" i="1"/>
  <c r="B123" i="1"/>
  <c r="C123" i="1"/>
  <c r="D123" i="1"/>
  <c r="E123" i="1"/>
  <c r="F123" i="1"/>
  <c r="G123" i="1"/>
  <c r="A124" i="1"/>
  <c r="B124" i="1"/>
  <c r="C124" i="1"/>
  <c r="D124" i="1"/>
  <c r="E124" i="1"/>
  <c r="F124" i="1"/>
  <c r="G124" i="1"/>
  <c r="A125" i="1"/>
  <c r="B125" i="1"/>
  <c r="C125" i="1"/>
  <c r="D125" i="1"/>
  <c r="E125" i="1"/>
  <c r="F125" i="1"/>
  <c r="G125" i="1"/>
  <c r="A126" i="1"/>
  <c r="B126" i="1"/>
  <c r="C126" i="1"/>
  <c r="D126" i="1"/>
  <c r="E126" i="1"/>
  <c r="F126" i="1"/>
  <c r="G126" i="1"/>
  <c r="B127" i="1"/>
  <c r="C127" i="1"/>
  <c r="D127" i="1"/>
  <c r="E127" i="1"/>
  <c r="F127" i="1"/>
  <c r="G127" i="1"/>
  <c r="A128" i="1"/>
  <c r="B128" i="1"/>
  <c r="C128" i="1"/>
  <c r="D128" i="1"/>
  <c r="E128" i="1"/>
  <c r="F128" i="1"/>
  <c r="G128" i="1"/>
  <c r="A129" i="1"/>
  <c r="B129" i="1"/>
  <c r="C129" i="1"/>
  <c r="D129" i="1"/>
  <c r="E129" i="1"/>
  <c r="F129" i="1"/>
  <c r="G129" i="1"/>
  <c r="A130" i="1"/>
  <c r="B130" i="1"/>
  <c r="C130" i="1"/>
  <c r="D130" i="1"/>
  <c r="E130" i="1"/>
  <c r="F130" i="1"/>
  <c r="G130" i="1"/>
  <c r="A131" i="1"/>
  <c r="B131" i="1"/>
  <c r="C131" i="1"/>
  <c r="D131" i="1"/>
  <c r="E131" i="1"/>
  <c r="F131" i="1"/>
  <c r="G131" i="1"/>
  <c r="A132" i="1"/>
  <c r="B132" i="1"/>
  <c r="C132" i="1"/>
  <c r="D132" i="1"/>
  <c r="E132" i="1"/>
  <c r="F132" i="1"/>
  <c r="G132" i="1"/>
  <c r="A133" i="1"/>
  <c r="B133" i="1"/>
  <c r="C133" i="1"/>
  <c r="D133" i="1"/>
  <c r="E133" i="1"/>
  <c r="F133" i="1"/>
  <c r="G133" i="1"/>
  <c r="A134" i="1"/>
  <c r="B134" i="1"/>
  <c r="C134" i="1"/>
  <c r="D134" i="1"/>
  <c r="E134" i="1"/>
  <c r="F134" i="1"/>
  <c r="G134" i="1"/>
  <c r="A135" i="1"/>
  <c r="B135" i="1"/>
  <c r="C135" i="1"/>
  <c r="D135" i="1"/>
  <c r="E135" i="1"/>
  <c r="F135" i="1"/>
  <c r="G135" i="1"/>
  <c r="A136" i="1"/>
  <c r="B136" i="1"/>
  <c r="C136" i="1"/>
  <c r="D136" i="1"/>
  <c r="E136" i="1"/>
  <c r="F136" i="1"/>
  <c r="G136" i="1"/>
  <c r="A137" i="1"/>
  <c r="B137" i="1"/>
  <c r="C137" i="1"/>
  <c r="D137" i="1"/>
  <c r="E137" i="1"/>
  <c r="F137" i="1"/>
  <c r="G137" i="1"/>
  <c r="A138" i="1"/>
  <c r="B138" i="1"/>
  <c r="C138" i="1"/>
  <c r="D138" i="1"/>
  <c r="E138" i="1"/>
  <c r="F138" i="1"/>
  <c r="G138" i="1"/>
  <c r="A139" i="1"/>
  <c r="B139" i="1"/>
  <c r="C139" i="1"/>
  <c r="D139" i="1"/>
  <c r="E139" i="1"/>
  <c r="F139" i="1"/>
  <c r="G139" i="1"/>
  <c r="A140" i="1"/>
  <c r="B140" i="1"/>
  <c r="C140" i="1"/>
  <c r="D140" i="1"/>
  <c r="E140" i="1"/>
  <c r="F140" i="1"/>
  <c r="G140" i="1"/>
  <c r="A141" i="1"/>
  <c r="B141" i="1"/>
  <c r="C141" i="1"/>
  <c r="D141" i="1"/>
  <c r="E141" i="1"/>
  <c r="F141" i="1"/>
  <c r="G141" i="1"/>
  <c r="A88" i="1"/>
  <c r="B88" i="1"/>
  <c r="C88" i="1"/>
  <c r="D88" i="1"/>
  <c r="E88" i="1"/>
  <c r="F88" i="1"/>
  <c r="G88" i="1"/>
  <c r="A89" i="1"/>
  <c r="B89" i="1"/>
  <c r="C89" i="1"/>
  <c r="D89" i="1"/>
  <c r="E89" i="1"/>
  <c r="F89" i="1"/>
  <c r="G89" i="1"/>
  <c r="A90" i="1"/>
  <c r="B90" i="1"/>
  <c r="C90" i="1"/>
  <c r="D90" i="1"/>
  <c r="E90" i="1"/>
  <c r="F90" i="1"/>
  <c r="G90" i="1"/>
  <c r="A91" i="1"/>
  <c r="B91" i="1"/>
  <c r="C91" i="1"/>
  <c r="D91" i="1"/>
  <c r="E91" i="1"/>
  <c r="F91" i="1"/>
  <c r="G91" i="1"/>
  <c r="A92" i="1"/>
  <c r="B92" i="1"/>
  <c r="C92" i="1"/>
  <c r="D92" i="1"/>
  <c r="E92" i="1"/>
  <c r="F92" i="1"/>
  <c r="G92" i="1"/>
  <c r="A93" i="1"/>
  <c r="B93" i="1"/>
  <c r="C93" i="1"/>
  <c r="D93" i="1"/>
  <c r="E93" i="1"/>
  <c r="F93" i="1"/>
  <c r="G93" i="1"/>
  <c r="A94" i="1"/>
  <c r="B94" i="1"/>
  <c r="C94" i="1"/>
  <c r="D94" i="1"/>
  <c r="E94" i="1"/>
  <c r="F94" i="1"/>
  <c r="G94" i="1"/>
  <c r="A95" i="1"/>
  <c r="B95" i="1"/>
  <c r="C95" i="1"/>
  <c r="D95" i="1"/>
  <c r="E95" i="1"/>
  <c r="F95" i="1"/>
  <c r="G95" i="1"/>
  <c r="A96" i="1"/>
  <c r="B96" i="1"/>
  <c r="C96" i="1"/>
  <c r="D96" i="1"/>
  <c r="E96" i="1"/>
  <c r="F96" i="1"/>
  <c r="G96" i="1"/>
  <c r="A97" i="1"/>
  <c r="B97" i="1"/>
  <c r="C97" i="1"/>
  <c r="D97" i="1"/>
  <c r="E97" i="1"/>
  <c r="F97" i="1"/>
  <c r="G97" i="1"/>
  <c r="A98" i="1"/>
  <c r="B98" i="1"/>
  <c r="C98" i="1"/>
  <c r="D98" i="1"/>
  <c r="E98" i="1"/>
  <c r="F98" i="1"/>
  <c r="G98" i="1"/>
  <c r="A99" i="1"/>
  <c r="B99" i="1"/>
  <c r="C99" i="1"/>
  <c r="D99" i="1"/>
  <c r="E99" i="1"/>
  <c r="F99" i="1"/>
  <c r="G99" i="1"/>
  <c r="A100" i="1"/>
  <c r="B100" i="1"/>
  <c r="C100" i="1"/>
  <c r="D100" i="1"/>
  <c r="E100" i="1"/>
  <c r="F100" i="1"/>
  <c r="G100" i="1"/>
  <c r="A101" i="1"/>
  <c r="B101" i="1"/>
  <c r="C101" i="1"/>
  <c r="D101" i="1"/>
  <c r="E101" i="1"/>
  <c r="F101" i="1"/>
  <c r="G101" i="1"/>
  <c r="A102" i="1"/>
  <c r="B102" i="1"/>
  <c r="C102" i="1"/>
  <c r="D102" i="1"/>
  <c r="E102" i="1"/>
  <c r="F102" i="1"/>
  <c r="G102" i="1"/>
  <c r="A103" i="1"/>
  <c r="B103" i="1"/>
  <c r="C103" i="1"/>
  <c r="D103" i="1"/>
  <c r="E103" i="1"/>
  <c r="F103" i="1"/>
  <c r="G103" i="1"/>
  <c r="A104" i="1"/>
  <c r="B104" i="1"/>
  <c r="C104" i="1"/>
  <c r="D104" i="1"/>
  <c r="E104" i="1"/>
  <c r="F104" i="1"/>
  <c r="G104" i="1"/>
  <c r="A105" i="1"/>
  <c r="B105" i="1"/>
  <c r="C105" i="1"/>
  <c r="D105" i="1"/>
  <c r="E105" i="1"/>
  <c r="F105" i="1"/>
  <c r="G105" i="1"/>
  <c r="A106" i="1"/>
  <c r="B106" i="1"/>
  <c r="C106" i="1"/>
  <c r="D106" i="1"/>
  <c r="E106" i="1"/>
  <c r="F106" i="1"/>
  <c r="G106" i="1"/>
  <c r="A107" i="1"/>
  <c r="B107" i="1"/>
  <c r="C107" i="1"/>
  <c r="D107" i="1"/>
  <c r="E107" i="1"/>
  <c r="F107" i="1"/>
  <c r="G107" i="1"/>
  <c r="A108" i="1"/>
  <c r="B108" i="1"/>
  <c r="C108" i="1"/>
  <c r="D108" i="1"/>
  <c r="E108" i="1"/>
  <c r="F108" i="1"/>
  <c r="G108" i="1"/>
  <c r="A109" i="1"/>
  <c r="B109" i="1"/>
  <c r="C109" i="1"/>
  <c r="D109" i="1"/>
  <c r="E109" i="1"/>
  <c r="F109" i="1"/>
  <c r="G109" i="1"/>
  <c r="A110" i="1"/>
  <c r="B110" i="1"/>
  <c r="C110" i="1"/>
  <c r="D110" i="1"/>
  <c r="E110" i="1"/>
  <c r="F110" i="1"/>
  <c r="G110" i="1"/>
  <c r="A111" i="1"/>
  <c r="B111" i="1"/>
  <c r="C111" i="1"/>
  <c r="D111" i="1"/>
  <c r="E111" i="1"/>
  <c r="F111" i="1"/>
  <c r="G111" i="1"/>
  <c r="A112" i="1"/>
  <c r="B112" i="1"/>
  <c r="C112" i="1"/>
  <c r="D112" i="1"/>
  <c r="E112" i="1"/>
  <c r="F112" i="1"/>
  <c r="G112" i="1"/>
  <c r="A113" i="1"/>
  <c r="B113" i="1"/>
  <c r="C113" i="1"/>
  <c r="D113" i="1"/>
  <c r="E113" i="1"/>
  <c r="F113" i="1"/>
  <c r="G113" i="1"/>
  <c r="A114" i="1"/>
  <c r="B114" i="1"/>
  <c r="C114" i="1"/>
  <c r="D114" i="1"/>
  <c r="E114" i="1"/>
  <c r="F114" i="1"/>
  <c r="G114" i="1"/>
  <c r="A58" i="1"/>
  <c r="B58" i="1"/>
  <c r="C58" i="1"/>
  <c r="D58" i="1"/>
  <c r="E58" i="1"/>
  <c r="F58" i="1"/>
  <c r="G58" i="1"/>
  <c r="B59" i="1"/>
  <c r="C59" i="1"/>
  <c r="D59" i="1"/>
  <c r="E59" i="1"/>
  <c r="F59" i="1"/>
  <c r="G59" i="1"/>
  <c r="B60" i="1"/>
  <c r="C60" i="1"/>
  <c r="D60" i="1"/>
  <c r="E60" i="1"/>
  <c r="F60" i="1"/>
  <c r="G60" i="1"/>
  <c r="A61" i="1"/>
  <c r="B61" i="1"/>
  <c r="C61" i="1"/>
  <c r="D61" i="1"/>
  <c r="E61" i="1"/>
  <c r="F61" i="1"/>
  <c r="G61" i="1"/>
  <c r="A62" i="1"/>
  <c r="B62" i="1"/>
  <c r="C62" i="1"/>
  <c r="D62" i="1"/>
  <c r="E62" i="1"/>
  <c r="F62" i="1"/>
  <c r="G62" i="1"/>
  <c r="A63" i="1"/>
  <c r="B63" i="1"/>
  <c r="C63" i="1"/>
  <c r="D63" i="1"/>
  <c r="E63" i="1"/>
  <c r="F63" i="1"/>
  <c r="G63" i="1"/>
  <c r="A64" i="1"/>
  <c r="B64" i="1"/>
  <c r="C64" i="1"/>
  <c r="D64" i="1"/>
  <c r="E64" i="1"/>
  <c r="F64" i="1"/>
  <c r="G64" i="1"/>
  <c r="A65" i="1"/>
  <c r="B65" i="1"/>
  <c r="C65" i="1"/>
  <c r="D65" i="1"/>
  <c r="E65" i="1"/>
  <c r="F65" i="1"/>
  <c r="G65" i="1"/>
  <c r="A66" i="1"/>
  <c r="B66" i="1"/>
  <c r="C66" i="1"/>
  <c r="D66" i="1"/>
  <c r="E66" i="1"/>
  <c r="F66" i="1"/>
  <c r="G66" i="1"/>
  <c r="A67" i="1"/>
  <c r="B67" i="1"/>
  <c r="C67" i="1"/>
  <c r="D67" i="1"/>
  <c r="E67" i="1"/>
  <c r="F67" i="1"/>
  <c r="G67" i="1"/>
  <c r="A68" i="1"/>
  <c r="B68" i="1"/>
  <c r="C68" i="1"/>
  <c r="D68" i="1"/>
  <c r="E68" i="1"/>
  <c r="F68" i="1"/>
  <c r="G68" i="1"/>
  <c r="A69" i="1"/>
  <c r="B69" i="1"/>
  <c r="C69" i="1"/>
  <c r="D69" i="1"/>
  <c r="E69" i="1"/>
  <c r="F69" i="1"/>
  <c r="G69" i="1"/>
  <c r="A70" i="1"/>
  <c r="B70" i="1"/>
  <c r="C70" i="1"/>
  <c r="D70" i="1"/>
  <c r="E70" i="1"/>
  <c r="F70" i="1"/>
  <c r="G70" i="1"/>
  <c r="A71" i="1"/>
  <c r="B71" i="1"/>
  <c r="C71" i="1"/>
  <c r="D71" i="1"/>
  <c r="E71" i="1"/>
  <c r="F71" i="1"/>
  <c r="G71" i="1"/>
  <c r="A72" i="1"/>
  <c r="B72" i="1"/>
  <c r="C72" i="1"/>
  <c r="D72" i="1"/>
  <c r="E72" i="1"/>
  <c r="F72" i="1"/>
  <c r="G72" i="1"/>
  <c r="A73" i="1"/>
  <c r="B73" i="1"/>
  <c r="C73" i="1"/>
  <c r="D73" i="1"/>
  <c r="E73" i="1"/>
  <c r="F73" i="1"/>
  <c r="G73" i="1"/>
  <c r="A74" i="1"/>
  <c r="B74" i="1"/>
  <c r="C74" i="1"/>
  <c r="D74" i="1"/>
  <c r="E74" i="1"/>
  <c r="F74" i="1"/>
  <c r="G74" i="1"/>
  <c r="A75" i="1"/>
  <c r="B75" i="1"/>
  <c r="C75" i="1"/>
  <c r="D75" i="1"/>
  <c r="E75" i="1"/>
  <c r="F75" i="1"/>
  <c r="G75" i="1"/>
  <c r="A76" i="1"/>
  <c r="B76" i="1"/>
  <c r="C76" i="1"/>
  <c r="D76" i="1"/>
  <c r="E76" i="1"/>
  <c r="F76" i="1"/>
  <c r="G76" i="1"/>
  <c r="A77" i="1"/>
  <c r="B77" i="1"/>
  <c r="C77" i="1"/>
  <c r="D77" i="1"/>
  <c r="E77" i="1"/>
  <c r="F77" i="1"/>
  <c r="G77" i="1"/>
  <c r="A78" i="1"/>
  <c r="B78" i="1"/>
  <c r="C78" i="1"/>
  <c r="D78" i="1"/>
  <c r="E78" i="1"/>
  <c r="F78" i="1"/>
  <c r="G78" i="1"/>
  <c r="A79" i="1"/>
  <c r="B79" i="1"/>
  <c r="C79" i="1"/>
  <c r="D79" i="1"/>
  <c r="E79" i="1"/>
  <c r="F79" i="1"/>
  <c r="G79" i="1"/>
  <c r="A80" i="1"/>
  <c r="B80" i="1"/>
  <c r="C80" i="1"/>
  <c r="D80" i="1"/>
  <c r="E80" i="1"/>
  <c r="F80" i="1"/>
  <c r="G80" i="1"/>
  <c r="A81" i="1"/>
  <c r="B81" i="1"/>
  <c r="C81" i="1"/>
  <c r="D81" i="1"/>
  <c r="E81" i="1"/>
  <c r="F81" i="1"/>
  <c r="G81" i="1"/>
  <c r="A82" i="1"/>
  <c r="B82" i="1"/>
  <c r="C82" i="1"/>
  <c r="D82" i="1"/>
  <c r="E82" i="1"/>
  <c r="F82" i="1"/>
  <c r="G82" i="1"/>
  <c r="A83" i="1"/>
  <c r="B83" i="1"/>
  <c r="C83" i="1"/>
  <c r="D83" i="1"/>
  <c r="E83" i="1"/>
  <c r="F83" i="1"/>
  <c r="G83" i="1"/>
  <c r="A84" i="1"/>
  <c r="B84" i="1"/>
  <c r="C84" i="1"/>
  <c r="D84" i="1"/>
  <c r="E84" i="1"/>
  <c r="F84" i="1"/>
  <c r="G84" i="1"/>
  <c r="A85" i="1"/>
  <c r="B85" i="1"/>
  <c r="C85" i="1"/>
  <c r="D85" i="1"/>
  <c r="E85" i="1"/>
  <c r="F85" i="1"/>
  <c r="G85" i="1"/>
</calcChain>
</file>

<file path=xl/sharedStrings.xml><?xml version="1.0" encoding="utf-8"?>
<sst xmlns="http://schemas.openxmlformats.org/spreadsheetml/2006/main" count="691" uniqueCount="108">
  <si>
    <t>Session 1</t>
  </si>
  <si>
    <t>Name (original name)</t>
  </si>
  <si>
    <t>Email</t>
  </si>
  <si>
    <t>Join time</t>
  </si>
  <si>
    <t>Leave time</t>
  </si>
  <si>
    <t>Guest</t>
  </si>
  <si>
    <t>Recording disclaimer response</t>
  </si>
  <si>
    <t>In waiting room</t>
  </si>
  <si>
    <t>Full Name</t>
  </si>
  <si>
    <t>Dana Ahmed Ammar</t>
  </si>
  <si>
    <t>Yes</t>
  </si>
  <si>
    <t>No Response</t>
  </si>
  <si>
    <t>No</t>
  </si>
  <si>
    <t>Youssef Ali Mohammed Alamrousy</t>
  </si>
  <si>
    <t>Youssef Ali</t>
  </si>
  <si>
    <t>Mona Karam Ali</t>
  </si>
  <si>
    <t>moham</t>
  </si>
  <si>
    <t>OK</t>
  </si>
  <si>
    <t>Zeyad Mohamed Sayed</t>
  </si>
  <si>
    <t>somaia essam</t>
  </si>
  <si>
    <t>Shahd Reda Badry</t>
  </si>
  <si>
    <t>Khalid boriq Hamoda</t>
  </si>
  <si>
    <t>Basmala saed Mohamed Ali sorour</t>
  </si>
  <si>
    <t>Zeyad Mohamed</t>
  </si>
  <si>
    <t>Somaia Essam Ahmed</t>
  </si>
  <si>
    <t>Basmala Mohamed Sabry</t>
  </si>
  <si>
    <t>‪Anwer  Ramadan Yasser‬</t>
  </si>
  <si>
    <t>shahd reda</t>
  </si>
  <si>
    <t>Khaled naser mansour</t>
  </si>
  <si>
    <t>muhammad radi</t>
  </si>
  <si>
    <t>Kevin Akram eskander</t>
  </si>
  <si>
    <t>Anwer Yasser</t>
  </si>
  <si>
    <t>Marwan Ezzat Farag Elkhayat</t>
  </si>
  <si>
    <t>Mona karam</t>
  </si>
  <si>
    <t>Khaled Niazy Yassin</t>
  </si>
  <si>
    <t>Farida Hossam</t>
  </si>
  <si>
    <t>Moaz Ahmed Zaki</t>
  </si>
  <si>
    <t>Moaz</t>
  </si>
  <si>
    <t>Ahmed Magdy Ragab</t>
  </si>
  <si>
    <t>Khaled Naser Abdelazeem Mansour</t>
  </si>
  <si>
    <t>Nour Ebrahim Omira</t>
  </si>
  <si>
    <t xml:space="preserve">Excused for not attending 6 online sessions  </t>
  </si>
  <si>
    <t>mina karamy</t>
  </si>
  <si>
    <t>Mohamed wael mansour</t>
  </si>
  <si>
    <t>Ahmed Magdy</t>
  </si>
  <si>
    <t>Khaled boriq hamoda</t>
  </si>
  <si>
    <t>moaz zaki</t>
  </si>
  <si>
    <t>Basmala sorour</t>
  </si>
  <si>
    <t>Mina karamy saeed</t>
  </si>
  <si>
    <t>mohamed mosalam</t>
  </si>
  <si>
    <t>Ahmed mohamed salah</t>
  </si>
  <si>
    <t>LEGION</t>
  </si>
  <si>
    <t>MEDHAT YEHIA ABDUL AZIZ FARAG</t>
  </si>
  <si>
    <t>khaled niazy</t>
  </si>
  <si>
    <t>Zeyad</t>
  </si>
  <si>
    <t>Farida Hossam Eldin Mostafa Elderaa</t>
  </si>
  <si>
    <t>Marwan’s iPhone</t>
  </si>
  <si>
    <t>Mohamed Abd El Rady</t>
  </si>
  <si>
    <t>Mostafa Ibrahim</t>
  </si>
  <si>
    <t>Shams Mostafa Raafat Abdelsalam</t>
  </si>
  <si>
    <t>Karen Nagy Fahem</t>
  </si>
  <si>
    <t>Medhat Yehia Abdul Aziz</t>
  </si>
  <si>
    <t>Abd El Rahman Eid</t>
  </si>
  <si>
    <t>Kevin’s iPhone/</t>
  </si>
  <si>
    <t xml:space="preserve">Abd El Raaouf Naguib Ahmed </t>
  </si>
  <si>
    <t>Batoul Sherif George</t>
  </si>
  <si>
    <t>Session 2</t>
  </si>
  <si>
    <t>MEDHAT YEHIA</t>
  </si>
  <si>
    <t>Muhammad Radi</t>
  </si>
  <si>
    <t>Mohamed Wael Mansour Abdelmonem</t>
  </si>
  <si>
    <t>Khaled Niazy</t>
  </si>
  <si>
    <t>Abdo Noamany</t>
  </si>
  <si>
    <t>mohamed</t>
  </si>
  <si>
    <t>Session 3</t>
  </si>
  <si>
    <t>Session 4</t>
  </si>
  <si>
    <t>Session 5</t>
  </si>
  <si>
    <t>Session 6</t>
  </si>
  <si>
    <t>Nour Omira</t>
  </si>
  <si>
    <t>Kevin akram eskander (Kevin’s iPhone/)</t>
  </si>
  <si>
    <t>Ehab Abousaif</t>
  </si>
  <si>
    <t>Samsung SM-A245F</t>
  </si>
  <si>
    <t>Kevin akram eskander</t>
  </si>
  <si>
    <t>Karen</t>
  </si>
  <si>
    <t>Session 7</t>
  </si>
  <si>
    <t> </t>
  </si>
  <si>
    <t>Mostafa Ibrahim Eldisoki</t>
  </si>
  <si>
    <t>abdonoamany</t>
  </si>
  <si>
    <t>Karen nagy (Karen)</t>
  </si>
  <si>
    <t>Khaled</t>
  </si>
  <si>
    <t>Session 8</t>
  </si>
  <si>
    <t>Marwan Elkhayat</t>
  </si>
  <si>
    <t>Session 9</t>
  </si>
  <si>
    <t>anwar</t>
  </si>
  <si>
    <t>Mona</t>
  </si>
  <si>
    <t>khaled naser mansour</t>
  </si>
  <si>
    <t>Shahd reda</t>
  </si>
  <si>
    <t xml:space="preserve">Name </t>
  </si>
  <si>
    <t>Session 1 ( /--/2026)</t>
  </si>
  <si>
    <t>Session 2 ( 7/8/2026)</t>
  </si>
  <si>
    <t>Session 3 ( --/--/2026)</t>
  </si>
  <si>
    <t>Session 4 ( --/--/2026)</t>
  </si>
  <si>
    <t>Session 5 ( --/--/2026)</t>
  </si>
  <si>
    <t>Session 6 ( --/--/2026)</t>
  </si>
  <si>
    <t>Session 7 ( --/--/2026)</t>
  </si>
  <si>
    <t>Session 8 ( --/--/2026)</t>
  </si>
  <si>
    <t>Session 9 ( --/--/2026)</t>
  </si>
  <si>
    <t>Attended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</si>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</sst>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sz val="11"/>
      <color rgb="FFFF0000"/>
      <name val="Calibri"/>
      <scheme val="minor"/>
    </font>
    <font>
      <sz val="11"/>
      <color rgb="FF000000"/>
      <name val="Book Antiqua"/>
    </font>
    <font>
      <sz val="11"/>
      <color rgb="FF8EA9DB"/>
      <name val="Book Antiqua"/>
    </font>
    <font>
      <sz val="11"/>
      <color rgb="FFFF0000"/>
      <name val="Calibri"/>
      <charset val="1"/>
    </font>
    <font>
      <sz val="11"/>
      <color theme="8" tint="0.39997558519241921"/>
      <name val="Book Antiqua"/>
      <family val="1"/>
    </font>
    <font>
      <sz val="11"/>
      <color rgb="FFFF0000"/>
      <name val="Book Antiqua"/>
    </font>
    <font>
      <sz val="11"/>
      <color theme="4" tint="0.39997558519241921"/>
      <name val="Book Antiqua"/>
      <family val="1"/>
    </font>
    <font>
      <b/>
      <sz val="11"/>
      <color rgb="FF000000"/>
      <name val="Book Antiqua"/>
    </font>
    <font>
      <sz val="11"/>
      <color rgb="FF000000"/>
      <name val="Book Antiqua"/>
      <family val="1"/>
    </font>
    <font>
      <sz val="11"/>
      <color theme="4"/>
      <name val="Book Antiqua"/>
      <family val="1"/>
    </font>
    <font>
      <sz val="11"/>
      <color rgb="FF000000"/>
      <name val="Book Antiqua"/>
      <charset val="1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0CECE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22" fontId="1" fillId="0" borderId="0" xfId="0" applyNumberFormat="1" applyFont="1"/>
    <xf numFmtId="0" fontId="1" fillId="2" borderId="1" xfId="0" applyFont="1" applyFill="1" applyBorder="1"/>
    <xf numFmtId="0" fontId="1" fillId="0" borderId="1" xfId="0" applyFont="1" applyBorder="1"/>
    <xf numFmtId="22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2" borderId="0" xfId="0" applyFont="1" applyFill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2" xfId="0" applyFont="1" applyFill="1" applyBorder="1"/>
    <xf numFmtId="0" fontId="0" fillId="4" borderId="0" xfId="0" applyFill="1"/>
    <xf numFmtId="14" fontId="1" fillId="0" borderId="0" xfId="0" applyNumberFormat="1" applyFont="1"/>
    <xf numFmtId="14" fontId="1" fillId="2" borderId="1" xfId="0" applyNumberFormat="1" applyFont="1" applyFill="1" applyBorder="1"/>
    <xf numFmtId="14" fontId="1" fillId="0" borderId="1" xfId="0" applyNumberFormat="1" applyFont="1" applyBorder="1"/>
    <xf numFmtId="0" fontId="1" fillId="2" borderId="1" xfId="0" applyFont="1" applyFill="1" applyBorder="1" applyAlignment="1">
      <alignment horizontal="distributed" vertical="justify"/>
    </xf>
    <xf numFmtId="0" fontId="2" fillId="2" borderId="1" xfId="0" applyFont="1" applyFill="1" applyBorder="1" applyAlignment="1">
      <alignment horizontal="distributed" vertical="justify"/>
    </xf>
    <xf numFmtId="0" fontId="0" fillId="0" borderId="0" xfId="0" applyAlignment="1">
      <alignment horizontal="distributed" vertical="justify"/>
    </xf>
    <xf numFmtId="0" fontId="1" fillId="0" borderId="4" xfId="0" applyFont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0" xfId="0" applyFont="1"/>
    <xf numFmtId="0" fontId="6" fillId="0" borderId="5" xfId="0" applyFont="1" applyBorder="1"/>
    <xf numFmtId="0" fontId="1" fillId="0" borderId="6" xfId="0" applyFont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" fillId="0" borderId="7" xfId="0" applyFont="1" applyBorder="1"/>
    <xf numFmtId="0" fontId="10" fillId="2" borderId="1" xfId="0" applyFont="1" applyFill="1" applyBorder="1" applyAlignment="1">
      <alignment horizontal="distributed" vertical="justify"/>
    </xf>
    <xf numFmtId="0" fontId="6" fillId="0" borderId="8" xfId="0" applyFont="1" applyBorder="1"/>
    <xf numFmtId="0" fontId="11" fillId="0" borderId="0" xfId="0" applyFont="1"/>
    <xf numFmtId="0" fontId="11" fillId="6" borderId="1" xfId="0" applyFont="1" applyFill="1" applyBorder="1"/>
    <xf numFmtId="0" fontId="11" fillId="6" borderId="9" xfId="0" applyFont="1" applyFill="1" applyBorder="1"/>
    <xf numFmtId="0" fontId="11" fillId="0" borderId="6" xfId="0" applyFont="1" applyBorder="1"/>
    <xf numFmtId="0" fontId="11" fillId="0" borderId="10" xfId="0" applyFont="1" applyBorder="1"/>
    <xf numFmtId="22" fontId="11" fillId="0" borderId="10" xfId="0" applyNumberFormat="1" applyFont="1" applyBorder="1"/>
    <xf numFmtId="14" fontId="11" fillId="0" borderId="10" xfId="0" applyNumberFormat="1" applyFont="1" applyBorder="1"/>
    <xf numFmtId="0" fontId="12" fillId="0" borderId="6" xfId="0" applyFont="1" applyBorder="1"/>
    <xf numFmtId="0" fontId="13" fillId="0" borderId="0" xfId="0" applyFont="1"/>
    <xf numFmtId="0" fontId="13" fillId="0" borderId="11" xfId="0" applyFont="1" applyBorder="1"/>
    <xf numFmtId="0" fontId="13" fillId="0" borderId="12" xfId="0" applyFont="1" applyBorder="1"/>
    <xf numFmtId="0" fontId="13" fillId="0" borderId="13" xfId="0" applyFont="1" applyBorder="1"/>
    <xf numFmtId="0" fontId="13" fillId="0" borderId="14" xfId="0" applyFont="1" applyBorder="1"/>
    <xf numFmtId="0" fontId="8" fillId="0" borderId="2" xfId="0" applyFont="1" applyBorder="1"/>
    <xf numFmtId="0" fontId="13" fillId="0" borderId="15" xfId="0" applyFont="1" applyBorder="1"/>
    <xf numFmtId="0" fontId="10" fillId="2" borderId="4" xfId="0" applyFont="1" applyFill="1" applyBorder="1" applyAlignment="1">
      <alignment horizontal="distributed" vertical="justify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7" xfId="0" applyBorder="1"/>
    <xf numFmtId="0" fontId="0" fillId="0" borderId="12" xfId="0" applyBorder="1" applyAlignment="1">
      <alignment vertical="center"/>
    </xf>
    <xf numFmtId="2" fontId="0" fillId="0" borderId="1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lak/Downloads/participants_97712470572_2026_07_19.csv" TargetMode="External"/><Relationship Id="rId1" Type="http://schemas.openxmlformats.org/officeDocument/2006/relationships/externalLinkPath" Target="/Users/Malak/Downloads/participants_97712470572_2026_07_19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lak/Downloads/participants_92405902565_2026_07_20%20(1).csv" TargetMode="External"/><Relationship Id="rId1" Type="http://schemas.openxmlformats.org/officeDocument/2006/relationships/externalLinkPath" Target="/Users/Malak/Downloads/participants_92405902565_2026_07_20%20(1)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lak/Downloads/participants_96205648590_2026_07_21%20(1).csv" TargetMode="External"/><Relationship Id="rId1" Type="http://schemas.openxmlformats.org/officeDocument/2006/relationships/externalLinkPath" Target="/Users/Malak/Downloads/participants_96205648590_2026_07_21%20(1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rticipants_97712470572_2026_0"/>
    </sheetNames>
    <sheetDataSet>
      <sheetData sheetId="0">
        <row r="1">
          <cell r="A1" t="str">
            <v>Name (original name)</v>
          </cell>
          <cell r="B1" t="str">
            <v>Email</v>
          </cell>
          <cell r="C1" t="str">
            <v>Join time</v>
          </cell>
          <cell r="D1" t="str">
            <v>Leave time</v>
          </cell>
          <cell r="E1" t="str">
            <v>Guest</v>
          </cell>
          <cell r="F1" t="str">
            <v>Recording disclaimer response</v>
          </cell>
          <cell r="G1" t="str">
            <v>In waiting room</v>
          </cell>
        </row>
        <row r="2">
          <cell r="A2" t="str">
            <v>mohamed hassan mosalam</v>
          </cell>
          <cell r="C2">
            <v>46222.822592592594</v>
          </cell>
          <cell r="D2">
            <v>46222.823877314811</v>
          </cell>
          <cell r="E2" t="str">
            <v>Yes</v>
          </cell>
          <cell r="F2" t="str">
            <v>No Response</v>
          </cell>
          <cell r="G2" t="str">
            <v>No</v>
          </cell>
        </row>
        <row r="3">
          <cell r="A3" t="str">
            <v>MEDHAT YEHIA</v>
          </cell>
          <cell r="C3">
            <v>46222.822650462964</v>
          </cell>
          <cell r="D3">
            <v>46222.919699074075</v>
          </cell>
          <cell r="E3" t="str">
            <v>Yes</v>
          </cell>
          <cell r="F3" t="str">
            <v>OK</v>
          </cell>
          <cell r="G3" t="str">
            <v>No</v>
          </cell>
        </row>
        <row r="4">
          <cell r="A4" t="str">
            <v>Mohamed Wael Mansour Abdelmonem</v>
          </cell>
          <cell r="C4">
            <v>46222.825509259259</v>
          </cell>
          <cell r="D4">
            <v>46222.919699074075</v>
          </cell>
          <cell r="E4" t="str">
            <v>Yes</v>
          </cell>
          <cell r="F4" t="str">
            <v>OK</v>
          </cell>
          <cell r="G4" t="str">
            <v>No</v>
          </cell>
        </row>
        <row r="5">
          <cell r="A5" t="str">
            <v>Mona karam</v>
          </cell>
          <cell r="C5">
            <v>46222.831944444442</v>
          </cell>
          <cell r="D5">
            <v>46222.844050925924</v>
          </cell>
          <cell r="E5" t="str">
            <v>Yes</v>
          </cell>
          <cell r="F5" t="str">
            <v>No Response</v>
          </cell>
          <cell r="G5" t="str">
            <v>No</v>
          </cell>
        </row>
        <row r="7">
          <cell r="A7" t="str">
            <v>Kevin akram eskander (Kevin)</v>
          </cell>
          <cell r="C7">
            <v>46222.83253472222</v>
          </cell>
          <cell r="D7">
            <v>46222.919699074075</v>
          </cell>
          <cell r="E7" t="str">
            <v>Yes</v>
          </cell>
          <cell r="F7" t="str">
            <v>OK</v>
          </cell>
          <cell r="G7" t="str">
            <v>No</v>
          </cell>
        </row>
        <row r="8">
          <cell r="A8" t="str">
            <v>Marwan Ezzat Farag</v>
          </cell>
          <cell r="C8">
            <v>46222.832673611112</v>
          </cell>
          <cell r="D8">
            <v>46222.838043981479</v>
          </cell>
          <cell r="E8" t="str">
            <v>Yes</v>
          </cell>
          <cell r="F8" t="str">
            <v>No Response</v>
          </cell>
          <cell r="G8" t="str">
            <v>No</v>
          </cell>
        </row>
        <row r="9">
          <cell r="A9" t="str">
            <v>khaled niazy</v>
          </cell>
          <cell r="C9">
            <v>46222.833182870374</v>
          </cell>
          <cell r="D9">
            <v>46222.853344907409</v>
          </cell>
          <cell r="E9" t="str">
            <v>Yes</v>
          </cell>
          <cell r="F9" t="str">
            <v>No Response</v>
          </cell>
          <cell r="G9" t="str">
            <v>No</v>
          </cell>
        </row>
        <row r="10">
          <cell r="A10" t="str">
            <v>Dana Ahmed Ammar</v>
          </cell>
          <cell r="C10">
            <v>46222.833356481482</v>
          </cell>
          <cell r="D10">
            <v>46222.909074074072</v>
          </cell>
          <cell r="E10" t="str">
            <v>Yes</v>
          </cell>
          <cell r="F10" t="str">
            <v>No Response</v>
          </cell>
          <cell r="G10" t="str">
            <v>No</v>
          </cell>
        </row>
        <row r="11">
          <cell r="A11" t="str">
            <v>Mostafa Ibrahim</v>
          </cell>
          <cell r="C11">
            <v>46222.834270833337</v>
          </cell>
          <cell r="D11">
            <v>46222.919699074075</v>
          </cell>
          <cell r="E11" t="str">
            <v>Yes</v>
          </cell>
          <cell r="F11" t="str">
            <v>OK</v>
          </cell>
          <cell r="G11" t="str">
            <v>No</v>
          </cell>
        </row>
        <row r="12">
          <cell r="A12" t="str">
            <v>shahd reda</v>
          </cell>
          <cell r="C12">
            <v>46222.834282407406</v>
          </cell>
          <cell r="D12">
            <v>46222.899699074071</v>
          </cell>
          <cell r="E12" t="str">
            <v>Yes</v>
          </cell>
          <cell r="F12" t="str">
            <v>OK</v>
          </cell>
          <cell r="G12" t="str">
            <v>No</v>
          </cell>
        </row>
        <row r="13">
          <cell r="A13" t="str">
            <v>somaia essam</v>
          </cell>
          <cell r="C13">
            <v>46222.834687499999</v>
          </cell>
          <cell r="D13">
            <v>46222.919699074075</v>
          </cell>
          <cell r="E13" t="str">
            <v>Yes</v>
          </cell>
          <cell r="F13" t="str">
            <v>No Response</v>
          </cell>
          <cell r="G13" t="str">
            <v>No</v>
          </cell>
        </row>
        <row r="14">
          <cell r="A14" t="str">
            <v>Farida Hossam</v>
          </cell>
          <cell r="C14">
            <v>46222.835844907408</v>
          </cell>
          <cell r="D14">
            <v>46222.919664351852</v>
          </cell>
          <cell r="E14" t="str">
            <v>Yes</v>
          </cell>
          <cell r="F14" t="str">
            <v>OK</v>
          </cell>
          <cell r="G14" t="str">
            <v>No</v>
          </cell>
        </row>
        <row r="15">
          <cell r="A15" t="str">
            <v>Basmala sorour</v>
          </cell>
          <cell r="C15">
            <v>46222.837418981479</v>
          </cell>
          <cell r="D15">
            <v>46222.919699074075</v>
          </cell>
          <cell r="E15" t="str">
            <v>Yes</v>
          </cell>
          <cell r="F15" t="str">
            <v>OK</v>
          </cell>
          <cell r="G15" t="str">
            <v>No</v>
          </cell>
        </row>
        <row r="16">
          <cell r="A16" t="str">
            <v>Kevin akram eskander</v>
          </cell>
          <cell r="C16">
            <v>46222.838530092595</v>
          </cell>
          <cell r="D16">
            <v>46222.919675925928</v>
          </cell>
          <cell r="E16" t="str">
            <v>Yes</v>
          </cell>
          <cell r="F16" t="str">
            <v>OK</v>
          </cell>
          <cell r="G16" t="str">
            <v>No</v>
          </cell>
        </row>
        <row r="17">
          <cell r="A17" t="str">
            <v>Mostafa Ibrahim Eldisoki</v>
          </cell>
          <cell r="C17">
            <v>46222.83866898148</v>
          </cell>
          <cell r="D17">
            <v>46222.919699074075</v>
          </cell>
          <cell r="E17" t="str">
            <v>Yes</v>
          </cell>
          <cell r="F17" t="str">
            <v>No Response</v>
          </cell>
          <cell r="G17" t="str">
            <v>No</v>
          </cell>
        </row>
        <row r="18">
          <cell r="A18" t="str">
            <v>Basmala Mohamed Sabry</v>
          </cell>
          <cell r="C18">
            <v>46222.838831018518</v>
          </cell>
          <cell r="D18">
            <v>46222.839803240742</v>
          </cell>
          <cell r="E18" t="str">
            <v>Yes</v>
          </cell>
          <cell r="F18" t="str">
            <v>No Response</v>
          </cell>
          <cell r="G18" t="str">
            <v>No</v>
          </cell>
        </row>
        <row r="19">
          <cell r="A19" t="str">
            <v>muhammad radi</v>
          </cell>
          <cell r="C19">
            <v>46222.839814814812</v>
          </cell>
          <cell r="D19">
            <v>46222.898217592592</v>
          </cell>
          <cell r="E19" t="str">
            <v>Yes</v>
          </cell>
          <cell r="F19" t="str">
            <v>No Response</v>
          </cell>
          <cell r="G19" t="str">
            <v>No</v>
          </cell>
        </row>
        <row r="20">
          <cell r="A20" t="str">
            <v>moaz zaki</v>
          </cell>
          <cell r="C20">
            <v>46222.84107638889</v>
          </cell>
          <cell r="D20">
            <v>46222.909768518519</v>
          </cell>
          <cell r="E20" t="str">
            <v>Yes</v>
          </cell>
          <cell r="F20" t="str">
            <v>No Response</v>
          </cell>
          <cell r="G20" t="str">
            <v>No</v>
          </cell>
        </row>
        <row r="21">
          <cell r="A21" t="str">
            <v>Prof. Ehab Abousaif</v>
          </cell>
          <cell r="C21">
            <v>46222.841469907406</v>
          </cell>
          <cell r="D21">
            <v>46222.919652777775</v>
          </cell>
          <cell r="E21" t="str">
            <v>Yes</v>
          </cell>
          <cell r="F21" t="str">
            <v>OK</v>
          </cell>
          <cell r="G21" t="str">
            <v>No</v>
          </cell>
        </row>
        <row r="22">
          <cell r="A22" t="str">
            <v>Ehab Abousaif</v>
          </cell>
          <cell r="C22">
            <v>46222.841493055559</v>
          </cell>
          <cell r="D22">
            <v>46222.904675925929</v>
          </cell>
          <cell r="E22" t="str">
            <v>Yes</v>
          </cell>
          <cell r="F22" t="str">
            <v>No Response</v>
          </cell>
          <cell r="G22" t="str">
            <v>No</v>
          </cell>
        </row>
        <row r="23">
          <cell r="A23" t="str">
            <v>Ahmed Magdy</v>
          </cell>
          <cell r="C23">
            <v>46222.842118055552</v>
          </cell>
          <cell r="D23">
            <v>46222.919699074075</v>
          </cell>
          <cell r="E23" t="str">
            <v>Yes</v>
          </cell>
          <cell r="F23" t="str">
            <v>OK</v>
          </cell>
          <cell r="G23" t="str">
            <v>No</v>
          </cell>
        </row>
        <row r="24">
          <cell r="A24" t="str">
            <v>Youssef Ali</v>
          </cell>
          <cell r="C24">
            <v>46222.842604166668</v>
          </cell>
          <cell r="D24">
            <v>46222.919699074075</v>
          </cell>
          <cell r="E24" t="str">
            <v>Yes</v>
          </cell>
          <cell r="F24" t="str">
            <v>OK</v>
          </cell>
          <cell r="G24" t="str">
            <v>No</v>
          </cell>
        </row>
        <row r="25">
          <cell r="A25" t="str">
            <v>anwar</v>
          </cell>
          <cell r="C25">
            <v>46222.843807870369</v>
          </cell>
          <cell r="D25">
            <v>46222.84814814815</v>
          </cell>
          <cell r="E25" t="str">
            <v>Yes</v>
          </cell>
          <cell r="F25" t="str">
            <v>OK</v>
          </cell>
          <cell r="G25" t="str">
            <v>No</v>
          </cell>
        </row>
        <row r="26">
          <cell r="A26" t="str">
            <v>Karen nagy (Karen)</v>
          </cell>
          <cell r="C26">
            <v>46222.844050925924</v>
          </cell>
          <cell r="D26">
            <v>46222.919675925928</v>
          </cell>
          <cell r="E26" t="str">
            <v>Yes</v>
          </cell>
          <cell r="F26" t="str">
            <v>No Response</v>
          </cell>
          <cell r="G26" t="str">
            <v>No</v>
          </cell>
        </row>
        <row r="27">
          <cell r="A27" t="str">
            <v>Khaled Naser Abdelazeem Mansour</v>
          </cell>
          <cell r="C27">
            <v>46222.844166666669</v>
          </cell>
          <cell r="D27">
            <v>46222.847974537035</v>
          </cell>
          <cell r="E27" t="str">
            <v>Yes</v>
          </cell>
          <cell r="F27" t="str">
            <v>No Response</v>
          </cell>
          <cell r="G27" t="str">
            <v>No</v>
          </cell>
        </row>
        <row r="28">
          <cell r="A28" t="str">
            <v>abdulrahman Muhammed Eid</v>
          </cell>
          <cell r="C28">
            <v>46222.847986111112</v>
          </cell>
          <cell r="D28">
            <v>46222.919641203705</v>
          </cell>
          <cell r="E28" t="str">
            <v>Yes</v>
          </cell>
          <cell r="F28" t="str">
            <v>No Response</v>
          </cell>
          <cell r="G28" t="str">
            <v>No</v>
          </cell>
        </row>
        <row r="29">
          <cell r="A29" t="str">
            <v>Khalid boriq Hamoda</v>
          </cell>
          <cell r="C29">
            <v>46222.84815972222</v>
          </cell>
          <cell r="D29">
            <v>46222.919699074075</v>
          </cell>
          <cell r="E29" t="str">
            <v>Yes</v>
          </cell>
          <cell r="F29" t="str">
            <v>No Response</v>
          </cell>
          <cell r="G29" t="str">
            <v>No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rticipants_92405902565_2026_0"/>
    </sheetNames>
    <sheetDataSet>
      <sheetData sheetId="0">
        <row r="1">
          <cell r="A1" t="str">
            <v>Name (original name)</v>
          </cell>
          <cell r="B1" t="str">
            <v>Email</v>
          </cell>
          <cell r="C1" t="str">
            <v>Join time</v>
          </cell>
          <cell r="D1" t="str">
            <v>Leave time</v>
          </cell>
          <cell r="E1" t="str">
            <v>Guest</v>
          </cell>
          <cell r="F1" t="str">
            <v>Recording disclaimer response</v>
          </cell>
          <cell r="G1" t="str">
            <v>In waiting room</v>
          </cell>
        </row>
        <row r="2">
          <cell r="A2" t="str">
            <v>Maha Elshibiny</v>
          </cell>
          <cell r="B2" t="str">
            <v>maha.elshibini@innoveracorp.com</v>
          </cell>
          <cell r="C2">
            <v>46223.830983796295</v>
          </cell>
          <cell r="D2">
            <v>46223.847337962965</v>
          </cell>
          <cell r="E2" t="str">
            <v>No</v>
          </cell>
          <cell r="F2" t="str">
            <v>OK</v>
          </cell>
          <cell r="G2" t="str">
            <v>No</v>
          </cell>
        </row>
        <row r="3">
          <cell r="A3" t="str">
            <v>Dana Ahmed Ammar</v>
          </cell>
          <cell r="C3">
            <v>46223.833067129628</v>
          </cell>
          <cell r="D3">
            <v>46223.833437499998</v>
          </cell>
          <cell r="E3" t="str">
            <v>Yes</v>
          </cell>
          <cell r="F3" t="str">
            <v>No Response</v>
          </cell>
          <cell r="G3" t="str">
            <v>No</v>
          </cell>
        </row>
        <row r="4">
          <cell r="A4" t="str">
            <v>mina karamy</v>
          </cell>
          <cell r="C4">
            <v>46223.833784722221</v>
          </cell>
          <cell r="D4">
            <v>46223.968877314815</v>
          </cell>
          <cell r="E4" t="str">
            <v>Yes</v>
          </cell>
          <cell r="F4" t="str">
            <v>OK</v>
          </cell>
          <cell r="G4" t="str">
            <v>No</v>
          </cell>
        </row>
        <row r="5">
          <cell r="A5" t="str">
            <v>somaia essam</v>
          </cell>
          <cell r="C5">
            <v>46223.834803240738</v>
          </cell>
          <cell r="D5">
            <v>46223.867129629631</v>
          </cell>
          <cell r="E5" t="str">
            <v>Yes</v>
          </cell>
          <cell r="F5" t="str">
            <v>No Response</v>
          </cell>
          <cell r="G5" t="str">
            <v>No</v>
          </cell>
        </row>
        <row r="6">
          <cell r="A6" t="str">
            <v>shahd reda</v>
          </cell>
          <cell r="C6">
            <v>46223.83520833333</v>
          </cell>
          <cell r="D6">
            <v>46223.852951388886</v>
          </cell>
          <cell r="E6" t="str">
            <v>Yes</v>
          </cell>
          <cell r="F6" t="str">
            <v>No Response</v>
          </cell>
          <cell r="G6" t="str">
            <v>No</v>
          </cell>
        </row>
        <row r="7">
          <cell r="A7" t="str">
            <v>moaz zaki</v>
          </cell>
          <cell r="C7">
            <v>46223.836331018516</v>
          </cell>
          <cell r="D7">
            <v>46223.968784722223</v>
          </cell>
          <cell r="E7" t="str">
            <v>Yes</v>
          </cell>
          <cell r="F7" t="str">
            <v>No Response</v>
          </cell>
          <cell r="G7" t="str">
            <v>No</v>
          </cell>
        </row>
        <row r="8">
          <cell r="A8" t="str">
            <v>Youssef Ali</v>
          </cell>
          <cell r="C8">
            <v>46223.836365740739</v>
          </cell>
          <cell r="D8">
            <v>46223.885104166664</v>
          </cell>
          <cell r="E8" t="str">
            <v>Yes</v>
          </cell>
          <cell r="F8" t="str">
            <v>No Response</v>
          </cell>
          <cell r="G8" t="str">
            <v>No</v>
          </cell>
        </row>
        <row r="9">
          <cell r="A9" t="str">
            <v>Basmala sorour</v>
          </cell>
          <cell r="C9">
            <v>46223.839050925926</v>
          </cell>
          <cell r="D9">
            <v>46223.968842592592</v>
          </cell>
          <cell r="E9" t="str">
            <v>Yes</v>
          </cell>
          <cell r="F9" t="str">
            <v>No Response</v>
          </cell>
          <cell r="G9" t="str">
            <v>No</v>
          </cell>
        </row>
        <row r="10">
          <cell r="A10" t="str">
            <v>Mostafa Ibrahim</v>
          </cell>
          <cell r="C10">
            <v>46223.839201388888</v>
          </cell>
          <cell r="D10">
            <v>46223.968877314815</v>
          </cell>
          <cell r="E10" t="str">
            <v>Yes</v>
          </cell>
          <cell r="F10" t="str">
            <v>No Response</v>
          </cell>
          <cell r="G10" t="str">
            <v>No</v>
          </cell>
        </row>
        <row r="11">
          <cell r="A11" t="str">
            <v>Mohamed Wael Mansour Abdelmonem</v>
          </cell>
          <cell r="C11">
            <v>46223.839456018519</v>
          </cell>
          <cell r="D11">
            <v>46223.943391203706</v>
          </cell>
          <cell r="E11" t="str">
            <v>Yes</v>
          </cell>
          <cell r="F11" t="str">
            <v>OK</v>
          </cell>
          <cell r="G11" t="str">
            <v>No</v>
          </cell>
        </row>
        <row r="12">
          <cell r="A12" t="str">
            <v>Farida Hossam</v>
          </cell>
          <cell r="C12">
            <v>46223.840509259258</v>
          </cell>
          <cell r="D12">
            <v>46223.968877314815</v>
          </cell>
          <cell r="E12" t="str">
            <v>Yes</v>
          </cell>
          <cell r="F12" t="str">
            <v>OK</v>
          </cell>
          <cell r="G12" t="str">
            <v>No</v>
          </cell>
        </row>
        <row r="13">
          <cell r="A13" t="str">
            <v>Zeyad Mohamed</v>
          </cell>
          <cell r="C13">
            <v>46223.840567129628</v>
          </cell>
          <cell r="D13">
            <v>46223.845717592594</v>
          </cell>
          <cell r="E13" t="str">
            <v>Yes</v>
          </cell>
          <cell r="F13" t="str">
            <v>No Response</v>
          </cell>
          <cell r="G13" t="str">
            <v>No</v>
          </cell>
        </row>
        <row r="14">
          <cell r="A14" t="str">
            <v>Mona karam</v>
          </cell>
          <cell r="C14">
            <v>46223.840613425928</v>
          </cell>
          <cell r="D14">
            <v>46223.931851851848</v>
          </cell>
          <cell r="E14" t="str">
            <v>Yes</v>
          </cell>
          <cell r="F14" t="str">
            <v>No Response</v>
          </cell>
          <cell r="G14" t="str">
            <v>No</v>
          </cell>
        </row>
        <row r="15">
          <cell r="A15" t="str">
            <v>mohamed hassan mosalam</v>
          </cell>
          <cell r="C15">
            <v>46223.843449074076</v>
          </cell>
          <cell r="D15">
            <v>46223.968819444446</v>
          </cell>
          <cell r="E15" t="str">
            <v>Yes</v>
          </cell>
          <cell r="F15" t="str">
            <v>No Response</v>
          </cell>
          <cell r="G15" t="str">
            <v>No</v>
          </cell>
        </row>
        <row r="16">
          <cell r="A16" t="str">
            <v>Prof. Ehab Abousaif</v>
          </cell>
          <cell r="C16">
            <v>46223.843854166669</v>
          </cell>
          <cell r="D16">
            <v>46223.968877314815</v>
          </cell>
          <cell r="E16" t="str">
            <v>Yes</v>
          </cell>
          <cell r="F16" t="str">
            <v>OK</v>
          </cell>
          <cell r="G16" t="str">
            <v>No</v>
          </cell>
        </row>
        <row r="17">
          <cell r="A17" t="str">
            <v>Ehab Abousaif</v>
          </cell>
          <cell r="C17">
            <v>46223.845486111109</v>
          </cell>
          <cell r="D17">
            <v>46223.968877314815</v>
          </cell>
          <cell r="E17" t="str">
            <v>Yes</v>
          </cell>
          <cell r="F17" t="str">
            <v>OK</v>
          </cell>
          <cell r="G17" t="str">
            <v>No</v>
          </cell>
        </row>
        <row r="18">
          <cell r="A18" t="str">
            <v>Marwan Ezzat Farag</v>
          </cell>
          <cell r="C18">
            <v>46223.846041666664</v>
          </cell>
          <cell r="D18">
            <v>46223.968877314815</v>
          </cell>
          <cell r="E18" t="str">
            <v>Yes</v>
          </cell>
          <cell r="F18" t="str">
            <v>OK</v>
          </cell>
          <cell r="G18" t="str">
            <v>No</v>
          </cell>
        </row>
        <row r="19">
          <cell r="A19" t="str">
            <v>muhammad radi</v>
          </cell>
          <cell r="C19">
            <v>46223.846342592595</v>
          </cell>
          <cell r="D19">
            <v>46223.968877314815</v>
          </cell>
          <cell r="E19" t="str">
            <v>Yes</v>
          </cell>
          <cell r="F19" t="str">
            <v>OK</v>
          </cell>
          <cell r="G19" t="str">
            <v>No</v>
          </cell>
        </row>
        <row r="20">
          <cell r="A20" t="str">
            <v>Khaled Niazy</v>
          </cell>
          <cell r="C20">
            <v>46223.847245370373</v>
          </cell>
          <cell r="D20">
            <v>46223.856145833335</v>
          </cell>
          <cell r="E20" t="str">
            <v>Yes</v>
          </cell>
          <cell r="F20" t="str">
            <v>OK</v>
          </cell>
          <cell r="G20" t="str">
            <v>No</v>
          </cell>
        </row>
        <row r="21">
          <cell r="A21" t="str">
            <v>Ahmed Magdy</v>
          </cell>
          <cell r="C21">
            <v>46223.847488425927</v>
          </cell>
          <cell r="D21">
            <v>46223.880648148152</v>
          </cell>
          <cell r="E21" t="str">
            <v>Yes</v>
          </cell>
          <cell r="F21" t="str">
            <v>OK</v>
          </cell>
          <cell r="G21" t="str">
            <v>No</v>
          </cell>
        </row>
        <row r="22">
          <cell r="A22" t="str">
            <v>Mostafa Ibrahim Eldisoki</v>
          </cell>
          <cell r="C22">
            <v>46223.847511574073</v>
          </cell>
          <cell r="D22">
            <v>46223.858113425929</v>
          </cell>
          <cell r="E22" t="str">
            <v>Yes</v>
          </cell>
          <cell r="F22" t="str">
            <v>OK</v>
          </cell>
          <cell r="G22" t="str">
            <v>No</v>
          </cell>
        </row>
        <row r="23">
          <cell r="A23" t="str">
            <v>Kevin akram eskander</v>
          </cell>
          <cell r="C23">
            <v>46223.847962962966</v>
          </cell>
          <cell r="D23">
            <v>46223.939444444448</v>
          </cell>
          <cell r="E23" t="str">
            <v>Yes</v>
          </cell>
          <cell r="F23" t="str">
            <v>No Response</v>
          </cell>
          <cell r="G23" t="str">
            <v>No</v>
          </cell>
        </row>
        <row r="24">
          <cell r="A24" t="str">
            <v>MEDHAT YEHIA</v>
          </cell>
          <cell r="C24">
            <v>46223.850300925929</v>
          </cell>
          <cell r="D24">
            <v>46223.968831018516</v>
          </cell>
          <cell r="E24" t="str">
            <v>Yes</v>
          </cell>
          <cell r="F24" t="str">
            <v>OK</v>
          </cell>
          <cell r="G24" t="str">
            <v>No</v>
          </cell>
        </row>
        <row r="25">
          <cell r="A25" t="str">
            <v>Khaled Naser Abdelazeem Mansour</v>
          </cell>
          <cell r="C25">
            <v>46223.850659722222</v>
          </cell>
          <cell r="D25">
            <v>46223.968877314815</v>
          </cell>
          <cell r="E25" t="str">
            <v>Yes</v>
          </cell>
          <cell r="F25" t="str">
            <v>OK</v>
          </cell>
          <cell r="G25" t="str">
            <v>No</v>
          </cell>
        </row>
        <row r="26">
          <cell r="A26" t="str">
            <v>Samsung SM-A245F</v>
          </cell>
          <cell r="C26">
            <v>46223.852199074077</v>
          </cell>
          <cell r="D26">
            <v>46223.901539351849</v>
          </cell>
          <cell r="E26" t="str">
            <v>Yes</v>
          </cell>
          <cell r="F26" t="str">
            <v>OK</v>
          </cell>
          <cell r="G26" t="str">
            <v>No</v>
          </cell>
        </row>
        <row r="27">
          <cell r="A27" t="str">
            <v>Karen nagy (Karen)</v>
          </cell>
          <cell r="C27">
            <v>46223.855925925927</v>
          </cell>
          <cell r="D27">
            <v>46223.968877314815</v>
          </cell>
          <cell r="E27" t="str">
            <v>Yes</v>
          </cell>
          <cell r="F27" t="str">
            <v>OK</v>
          </cell>
          <cell r="G27" t="str">
            <v>No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rticipants_96205648590_2026_0"/>
    </sheetNames>
    <sheetDataSet>
      <sheetData sheetId="0">
        <row r="1">
          <cell r="A1" t="str">
            <v>Name (original name)</v>
          </cell>
          <cell r="B1" t="str">
            <v>Email</v>
          </cell>
          <cell r="C1" t="str">
            <v>Join time</v>
          </cell>
          <cell r="D1" t="str">
            <v>Leave time</v>
          </cell>
          <cell r="E1" t="str">
            <v>Guest</v>
          </cell>
          <cell r="F1" t="str">
            <v>Recording disclaimer response</v>
          </cell>
          <cell r="G1" t="str">
            <v>In waiting room</v>
          </cell>
        </row>
        <row r="2">
          <cell r="A2" t="str">
            <v>Dana Ahmed Ammar</v>
          </cell>
          <cell r="C2">
            <v>46224.833935185183</v>
          </cell>
          <cell r="D2">
            <v>46224.956921296296</v>
          </cell>
          <cell r="E2" t="str">
            <v>Yes</v>
          </cell>
          <cell r="F2" t="str">
            <v>OK</v>
          </cell>
          <cell r="G2" t="str">
            <v>No</v>
          </cell>
        </row>
        <row r="4">
          <cell r="A4" t="str">
            <v>Kevin akram eskander</v>
          </cell>
          <cell r="C4">
            <v>46224.840277777781</v>
          </cell>
          <cell r="D4">
            <v>46224.92696759259</v>
          </cell>
          <cell r="E4" t="str">
            <v>Yes</v>
          </cell>
          <cell r="F4" t="str">
            <v>No Response</v>
          </cell>
          <cell r="G4" t="str">
            <v>No</v>
          </cell>
        </row>
        <row r="5">
          <cell r="A5" t="str">
            <v>Farida Hossam</v>
          </cell>
          <cell r="C5">
            <v>46224.84034722222</v>
          </cell>
          <cell r="D5">
            <v>46224.956909722219</v>
          </cell>
          <cell r="E5" t="str">
            <v>Yes</v>
          </cell>
          <cell r="F5" t="str">
            <v>OK</v>
          </cell>
          <cell r="G5" t="str">
            <v>No</v>
          </cell>
        </row>
        <row r="6">
          <cell r="A6" t="str">
            <v>Medhat Yehia Abdul Aziz</v>
          </cell>
          <cell r="C6">
            <v>46224.841041666667</v>
          </cell>
          <cell r="D6">
            <v>46224.956909722219</v>
          </cell>
          <cell r="E6" t="str">
            <v>Yes</v>
          </cell>
          <cell r="F6" t="str">
            <v>OK</v>
          </cell>
          <cell r="G6" t="str">
            <v>No</v>
          </cell>
        </row>
        <row r="7">
          <cell r="A7" t="str">
            <v>Youssef Ali</v>
          </cell>
          <cell r="C7">
            <v>46224.843090277776</v>
          </cell>
          <cell r="D7">
            <v>46224.956886574073</v>
          </cell>
          <cell r="E7" t="str">
            <v>Yes</v>
          </cell>
          <cell r="F7" t="str">
            <v>No Response</v>
          </cell>
          <cell r="G7" t="str">
            <v>No</v>
          </cell>
        </row>
        <row r="8">
          <cell r="A8" t="str">
            <v>Basmala sorour</v>
          </cell>
          <cell r="C8">
            <v>46224.844664351855</v>
          </cell>
          <cell r="D8">
            <v>46224.95684027778</v>
          </cell>
          <cell r="E8" t="str">
            <v>Yes</v>
          </cell>
          <cell r="F8" t="str">
            <v>No Response</v>
          </cell>
          <cell r="G8" t="str">
            <v>No</v>
          </cell>
        </row>
        <row r="9">
          <cell r="A9" t="str">
            <v>anwar</v>
          </cell>
          <cell r="C9">
            <v>46224.84480324074</v>
          </cell>
          <cell r="D9">
            <v>46224.84511574074</v>
          </cell>
          <cell r="E9" t="str">
            <v>Yes</v>
          </cell>
          <cell r="F9" t="str">
            <v>No Response</v>
          </cell>
          <cell r="G9" t="str">
            <v>No</v>
          </cell>
        </row>
        <row r="11">
          <cell r="A11" t="str">
            <v>moaz zaki</v>
          </cell>
          <cell r="C11">
            <v>46224.846458333333</v>
          </cell>
          <cell r="D11">
            <v>46224.885416666664</v>
          </cell>
          <cell r="E11" t="str">
            <v>Yes</v>
          </cell>
          <cell r="F11" t="str">
            <v>No Response</v>
          </cell>
          <cell r="G11" t="str">
            <v>No</v>
          </cell>
        </row>
        <row r="12">
          <cell r="A12" t="str">
            <v>mina karamy</v>
          </cell>
          <cell r="C12">
            <v>46224.846643518518</v>
          </cell>
          <cell r="D12">
            <v>46224.884745370371</v>
          </cell>
          <cell r="E12" t="str">
            <v>Yes</v>
          </cell>
          <cell r="F12" t="str">
            <v>No Response</v>
          </cell>
          <cell r="G12" t="str">
            <v>No</v>
          </cell>
        </row>
        <row r="13">
          <cell r="A13" t="str">
            <v>Mostafa Ibrahim</v>
          </cell>
          <cell r="C13">
            <v>46224.847013888888</v>
          </cell>
          <cell r="D13">
            <v>46224.853043981479</v>
          </cell>
          <cell r="E13" t="str">
            <v>Yes</v>
          </cell>
          <cell r="F13" t="str">
            <v>OK</v>
          </cell>
          <cell r="G13" t="str">
            <v>No</v>
          </cell>
        </row>
        <row r="14">
          <cell r="A14" t="str">
            <v>muhammad radi</v>
          </cell>
          <cell r="C14">
            <v>46224.847222222219</v>
          </cell>
          <cell r="D14">
            <v>46224.881516203706</v>
          </cell>
          <cell r="E14" t="str">
            <v>Yes</v>
          </cell>
          <cell r="F14" t="str">
            <v>OK</v>
          </cell>
          <cell r="G14" t="str">
            <v>No</v>
          </cell>
        </row>
        <row r="15">
          <cell r="A15" t="str">
            <v>Ehab Abousaif</v>
          </cell>
          <cell r="C15">
            <v>46224.847280092596</v>
          </cell>
          <cell r="D15">
            <v>46224.956909722219</v>
          </cell>
          <cell r="E15" t="str">
            <v>Yes</v>
          </cell>
          <cell r="F15" t="str">
            <v>OK</v>
          </cell>
          <cell r="G15" t="str">
            <v>No</v>
          </cell>
        </row>
        <row r="16">
          <cell r="A16" t="str">
            <v>shahd reda</v>
          </cell>
          <cell r="C16">
            <v>46224.848263888889</v>
          </cell>
          <cell r="D16">
            <v>46224.849317129629</v>
          </cell>
          <cell r="E16" t="str">
            <v>Yes</v>
          </cell>
          <cell r="F16" t="str">
            <v>OK</v>
          </cell>
          <cell r="G16" t="str">
            <v>No</v>
          </cell>
        </row>
        <row r="17">
          <cell r="A17" t="str">
            <v>Anwer Yasser</v>
          </cell>
          <cell r="C17">
            <v>46224.84957175926</v>
          </cell>
          <cell r="D17">
            <v>46224.956909722219</v>
          </cell>
          <cell r="E17" t="str">
            <v>Yes</v>
          </cell>
          <cell r="F17" t="str">
            <v>OK</v>
          </cell>
          <cell r="G17" t="str">
            <v>No</v>
          </cell>
        </row>
        <row r="18">
          <cell r="A18" t="str">
            <v>Khaled Naser Abdelazeem Mansour</v>
          </cell>
          <cell r="C18">
            <v>46224.850590277776</v>
          </cell>
          <cell r="D18">
            <v>46224.884687500002</v>
          </cell>
          <cell r="E18" t="str">
            <v>Yes</v>
          </cell>
          <cell r="F18" t="str">
            <v>OK</v>
          </cell>
          <cell r="G18" t="str">
            <v>No</v>
          </cell>
        </row>
        <row r="19">
          <cell r="A19" t="str">
            <v>Zeyad Mohamed</v>
          </cell>
          <cell r="C19">
            <v>46224.85324074074</v>
          </cell>
          <cell r="D19">
            <v>46224.923726851855</v>
          </cell>
          <cell r="E19" t="str">
            <v>Yes</v>
          </cell>
          <cell r="F19" t="str">
            <v>OK</v>
          </cell>
          <cell r="G19" t="str">
            <v>No</v>
          </cell>
        </row>
        <row r="20">
          <cell r="A20" t="str">
            <v>Marwan Ezzat Farag</v>
          </cell>
          <cell r="C20">
            <v>46224.853275462963</v>
          </cell>
          <cell r="D20">
            <v>46224.855891203704</v>
          </cell>
          <cell r="E20" t="str">
            <v>Yes</v>
          </cell>
          <cell r="F20" t="str">
            <v>No Response</v>
          </cell>
          <cell r="G20" t="str">
            <v>No</v>
          </cell>
        </row>
        <row r="21">
          <cell r="A21" t="str">
            <v>Khaled Niazy</v>
          </cell>
          <cell r="C21">
            <v>46224.856516203705</v>
          </cell>
          <cell r="D21">
            <v>46224.92359953704</v>
          </cell>
          <cell r="E21" t="str">
            <v>Yes</v>
          </cell>
          <cell r="F21" t="str">
            <v>No Response</v>
          </cell>
          <cell r="G21" t="str">
            <v>No</v>
          </cell>
        </row>
        <row r="22">
          <cell r="A22" t="str">
            <v>Mona karam</v>
          </cell>
          <cell r="C22">
            <v>46224.857164351852</v>
          </cell>
          <cell r="D22">
            <v>46224.917395833334</v>
          </cell>
          <cell r="E22" t="str">
            <v>Yes</v>
          </cell>
          <cell r="F22" t="str">
            <v>No Response</v>
          </cell>
          <cell r="G22" t="str">
            <v>No</v>
          </cell>
        </row>
        <row r="23">
          <cell r="A23" t="str">
            <v>Ahmed Magdy</v>
          </cell>
          <cell r="C23">
            <v>46224.857210648152</v>
          </cell>
          <cell r="D23">
            <v>46224.920810185184</v>
          </cell>
          <cell r="E23" t="str">
            <v>Yes</v>
          </cell>
          <cell r="F23" t="str">
            <v>OK</v>
          </cell>
          <cell r="G23" t="str">
            <v>No</v>
          </cell>
        </row>
        <row r="24">
          <cell r="A24" t="str">
            <v>Mohamed Wael Mansour Abdelmonem</v>
          </cell>
          <cell r="C24">
            <v>46224.857777777775</v>
          </cell>
          <cell r="D24">
            <v>46224.857986111114</v>
          </cell>
          <cell r="E24" t="str">
            <v>Yes</v>
          </cell>
          <cell r="F24" t="str">
            <v>OK</v>
          </cell>
          <cell r="G24" t="str">
            <v>No</v>
          </cell>
        </row>
        <row r="25">
          <cell r="A25" t="str">
            <v>Samsung SM-A245F</v>
          </cell>
          <cell r="C25">
            <v>46224.858043981483</v>
          </cell>
          <cell r="D25">
            <v>46224.931875000002</v>
          </cell>
          <cell r="E25" t="str">
            <v>Yes</v>
          </cell>
          <cell r="F25" t="str">
            <v>No Response</v>
          </cell>
          <cell r="G25" t="str">
            <v>No</v>
          </cell>
        </row>
        <row r="26">
          <cell r="A26" t="str">
            <v>Karen nagy (Karen)</v>
          </cell>
          <cell r="C26">
            <v>46224.858148148145</v>
          </cell>
          <cell r="D26">
            <v>46224.887569444443</v>
          </cell>
          <cell r="E26" t="str">
            <v>Yes</v>
          </cell>
          <cell r="F26" t="str">
            <v>OK</v>
          </cell>
          <cell r="G26" t="str">
            <v>No</v>
          </cell>
        </row>
        <row r="28">
          <cell r="A28" t="str">
            <v>abdulrahman Muhammed Eid</v>
          </cell>
          <cell r="C28">
            <v>46224.859965277778</v>
          </cell>
          <cell r="D28">
            <v>46224.956909722219</v>
          </cell>
          <cell r="E28" t="str">
            <v>Yes</v>
          </cell>
          <cell r="F28" t="str">
            <v>OK</v>
          </cell>
          <cell r="G28" t="str">
            <v>No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4"/>
  <sheetViews>
    <sheetView showGridLines="0" topLeftCell="A199" workbookViewId="0">
      <selection activeCell="I157" sqref="I157"/>
    </sheetView>
  </sheetViews>
  <sheetFormatPr defaultColWidth="8.7109375" defaultRowHeight="14.45"/>
  <cols>
    <col min="1" max="1" width="36.7109375" style="1" bestFit="1" customWidth="1"/>
    <col min="2" max="2" width="30.42578125" style="1" bestFit="1" customWidth="1"/>
    <col min="3" max="3" width="15.42578125" style="1" bestFit="1" customWidth="1"/>
    <col min="4" max="4" width="15.42578125" style="13" bestFit="1" customWidth="1"/>
    <col min="5" max="5" width="8.7109375" style="1"/>
    <col min="6" max="6" width="17.140625" style="1" customWidth="1"/>
    <col min="7" max="7" width="15.140625" style="1" bestFit="1" customWidth="1"/>
    <col min="8" max="8" width="15.140625" style="1" customWidth="1"/>
    <col min="9" max="9" width="38" style="1" bestFit="1" customWidth="1"/>
    <col min="10" max="10" width="38.140625" style="1" bestFit="1" customWidth="1"/>
    <col min="11" max="16384" width="8.7109375" style="1"/>
  </cols>
  <sheetData>
    <row r="1" spans="1:9">
      <c r="E1" s="2"/>
    </row>
    <row r="2" spans="1:9">
      <c r="A2" s="1" t="s">
        <v>0</v>
      </c>
    </row>
    <row r="3" spans="1:9">
      <c r="A3" s="3" t="s">
        <v>1</v>
      </c>
      <c r="B3" s="3" t="s">
        <v>2</v>
      </c>
      <c r="C3" s="3" t="s">
        <v>3</v>
      </c>
      <c r="D3" s="14" t="s">
        <v>4</v>
      </c>
      <c r="E3" s="3" t="s">
        <v>5</v>
      </c>
      <c r="F3" s="3" t="s">
        <v>6</v>
      </c>
      <c r="G3" s="3" t="s">
        <v>7</v>
      </c>
      <c r="H3" s="11"/>
      <c r="I3" s="21" t="s">
        <v>8</v>
      </c>
    </row>
    <row r="4" spans="1:9">
      <c r="A4" s="4" t="s">
        <v>9</v>
      </c>
      <c r="B4" s="4"/>
      <c r="C4" s="5">
        <v>46213.580185185187</v>
      </c>
      <c r="D4" s="15">
        <v>46213.689849537041</v>
      </c>
      <c r="E4" s="4" t="s">
        <v>10</v>
      </c>
      <c r="F4" s="4" t="s">
        <v>11</v>
      </c>
      <c r="G4" s="4" t="s">
        <v>12</v>
      </c>
      <c r="I4" s="6" t="s">
        <v>13</v>
      </c>
    </row>
    <row r="5" spans="1:9">
      <c r="A5" s="4" t="s">
        <v>14</v>
      </c>
      <c r="B5" s="4"/>
      <c r="C5" s="5">
        <v>46213.583437499998</v>
      </c>
      <c r="D5" s="15">
        <v>46213.68990740741</v>
      </c>
      <c r="E5" s="4" t="s">
        <v>10</v>
      </c>
      <c r="F5" s="4" t="s">
        <v>11</v>
      </c>
      <c r="G5" s="4" t="s">
        <v>12</v>
      </c>
      <c r="I5" s="6" t="s">
        <v>15</v>
      </c>
    </row>
    <row r="6" spans="1:9">
      <c r="A6" s="4" t="s">
        <v>16</v>
      </c>
      <c r="B6" s="4"/>
      <c r="C6" s="5">
        <v>46213.583622685182</v>
      </c>
      <c r="D6" s="15">
        <v>46213.690057870372</v>
      </c>
      <c r="E6" s="4" t="s">
        <v>10</v>
      </c>
      <c r="F6" s="4" t="s">
        <v>17</v>
      </c>
      <c r="G6" s="4" t="s">
        <v>12</v>
      </c>
      <c r="I6" s="6" t="s">
        <v>18</v>
      </c>
    </row>
    <row r="7" spans="1:9">
      <c r="A7" s="4" t="s">
        <v>19</v>
      </c>
      <c r="B7" s="4"/>
      <c r="C7" s="5">
        <v>46213.584085648145</v>
      </c>
      <c r="D7" s="15">
        <v>46213.689895833333</v>
      </c>
      <c r="E7" s="4" t="s">
        <v>10</v>
      </c>
      <c r="F7" s="4" t="s">
        <v>17</v>
      </c>
      <c r="G7" s="4" t="s">
        <v>12</v>
      </c>
      <c r="I7" s="6" t="s">
        <v>20</v>
      </c>
    </row>
    <row r="8" spans="1:9">
      <c r="A8" s="4" t="s">
        <v>21</v>
      </c>
      <c r="B8" s="4"/>
      <c r="C8" s="5">
        <v>46213.585243055553</v>
      </c>
      <c r="D8" s="15">
        <v>46213.68986111111</v>
      </c>
      <c r="E8" s="4" t="s">
        <v>10</v>
      </c>
      <c r="F8" s="4" t="s">
        <v>17</v>
      </c>
      <c r="G8" s="4" t="s">
        <v>12</v>
      </c>
      <c r="I8" s="6" t="s">
        <v>22</v>
      </c>
    </row>
    <row r="9" spans="1:9">
      <c r="A9" s="4" t="s">
        <v>23</v>
      </c>
      <c r="B9" s="4"/>
      <c r="C9" s="5">
        <v>46213.58525462963</v>
      </c>
      <c r="D9" s="15">
        <v>46213.599236111113</v>
      </c>
      <c r="E9" s="4" t="s">
        <v>10</v>
      </c>
      <c r="F9" s="4" t="s">
        <v>11</v>
      </c>
      <c r="G9" s="4" t="s">
        <v>12</v>
      </c>
      <c r="I9" s="6" t="s">
        <v>24</v>
      </c>
    </row>
    <row r="10" spans="1:9">
      <c r="A10" s="4" t="s">
        <v>25</v>
      </c>
      <c r="B10" s="4"/>
      <c r="C10" s="5">
        <v>46213.585474537038</v>
      </c>
      <c r="D10" s="15">
        <v>46213.689942129633</v>
      </c>
      <c r="E10" s="4" t="s">
        <v>10</v>
      </c>
      <c r="F10" s="4" t="s">
        <v>11</v>
      </c>
      <c r="G10" s="4" t="s">
        <v>12</v>
      </c>
      <c r="I10" s="6" t="s">
        <v>26</v>
      </c>
    </row>
    <row r="11" spans="1:9">
      <c r="A11" s="4" t="s">
        <v>27</v>
      </c>
      <c r="B11" s="4"/>
      <c r="C11" s="5">
        <v>46213.586261574077</v>
      </c>
      <c r="D11" s="15">
        <v>46213.689837962964</v>
      </c>
      <c r="E11" s="4" t="s">
        <v>10</v>
      </c>
      <c r="F11" s="4" t="s">
        <v>17</v>
      </c>
      <c r="G11" s="4" t="s">
        <v>12</v>
      </c>
      <c r="I11" s="6" t="s">
        <v>28</v>
      </c>
    </row>
    <row r="12" spans="1:9">
      <c r="A12" s="4" t="s">
        <v>29</v>
      </c>
      <c r="B12" s="4"/>
      <c r="C12" s="5">
        <v>46213.586585648147</v>
      </c>
      <c r="D12" s="15">
        <v>46213.647685185184</v>
      </c>
      <c r="E12" s="4" t="s">
        <v>10</v>
      </c>
      <c r="F12" s="4" t="s">
        <v>17</v>
      </c>
      <c r="G12" s="4" t="s">
        <v>12</v>
      </c>
      <c r="I12" s="6" t="s">
        <v>30</v>
      </c>
    </row>
    <row r="13" spans="1:9">
      <c r="A13" s="4" t="s">
        <v>31</v>
      </c>
      <c r="B13" s="4"/>
      <c r="C13" s="5">
        <v>46213.586643518516</v>
      </c>
      <c r="D13" s="15">
        <v>46213.631689814814</v>
      </c>
      <c r="E13" s="4" t="s">
        <v>10</v>
      </c>
      <c r="F13" s="4" t="s">
        <v>17</v>
      </c>
      <c r="G13" s="4" t="s">
        <v>12</v>
      </c>
      <c r="I13" s="6" t="s">
        <v>32</v>
      </c>
    </row>
    <row r="14" spans="1:9">
      <c r="A14" s="4" t="s">
        <v>33</v>
      </c>
      <c r="B14" s="4"/>
      <c r="C14" s="5">
        <v>46213.587870370371</v>
      </c>
      <c r="D14" s="15">
        <v>46213.68990740741</v>
      </c>
      <c r="E14" s="4" t="s">
        <v>10</v>
      </c>
      <c r="F14" s="4" t="s">
        <v>11</v>
      </c>
      <c r="G14" s="4" t="s">
        <v>12</v>
      </c>
      <c r="I14" s="6" t="s">
        <v>34</v>
      </c>
    </row>
    <row r="15" spans="1:9">
      <c r="A15" s="4" t="s">
        <v>35</v>
      </c>
      <c r="B15" s="4"/>
      <c r="C15" s="5">
        <v>46213.588553240741</v>
      </c>
      <c r="D15" s="15">
        <v>46213.642268518517</v>
      </c>
      <c r="E15" s="4" t="s">
        <v>10</v>
      </c>
      <c r="F15" s="4" t="s">
        <v>17</v>
      </c>
      <c r="G15" s="4" t="s">
        <v>12</v>
      </c>
      <c r="I15" s="6" t="s">
        <v>36</v>
      </c>
    </row>
    <row r="16" spans="1:9">
      <c r="A16" s="4" t="s">
        <v>37</v>
      </c>
      <c r="B16" s="4"/>
      <c r="C16" s="5">
        <v>46213.588877314818</v>
      </c>
      <c r="D16" s="15">
        <v>46213.591828703706</v>
      </c>
      <c r="E16" s="4" t="s">
        <v>10</v>
      </c>
      <c r="F16" s="4" t="s">
        <v>17</v>
      </c>
      <c r="G16" s="4" t="s">
        <v>12</v>
      </c>
      <c r="I16" s="6" t="s">
        <v>38</v>
      </c>
    </row>
    <row r="17" spans="1:10">
      <c r="A17" s="4" t="s">
        <v>39</v>
      </c>
      <c r="B17" s="4"/>
      <c r="C17" s="5">
        <v>46213.589328703703</v>
      </c>
      <c r="D17" s="15">
        <v>46213.609305555554</v>
      </c>
      <c r="E17" s="4" t="s">
        <v>10</v>
      </c>
      <c r="F17" s="4" t="s">
        <v>17</v>
      </c>
      <c r="G17" s="4" t="s">
        <v>12</v>
      </c>
      <c r="I17" s="10" t="s">
        <v>40</v>
      </c>
      <c r="J17" s="12" t="s">
        <v>41</v>
      </c>
    </row>
    <row r="18" spans="1:10">
      <c r="A18" s="4" t="s">
        <v>42</v>
      </c>
      <c r="B18" s="4"/>
      <c r="C18" s="5">
        <v>46213.589456018519</v>
      </c>
      <c r="D18" s="15">
        <v>46213.667037037034</v>
      </c>
      <c r="E18" s="4" t="s">
        <v>10</v>
      </c>
      <c r="F18" s="4" t="s">
        <v>11</v>
      </c>
      <c r="G18" s="4" t="s">
        <v>12</v>
      </c>
      <c r="I18" s="6" t="s">
        <v>43</v>
      </c>
    </row>
    <row r="19" spans="1:10">
      <c r="A19" s="4" t="s">
        <v>44</v>
      </c>
      <c r="B19" s="4"/>
      <c r="C19" s="5">
        <v>46213.591331018521</v>
      </c>
      <c r="D19" s="15">
        <v>46213.689988425926</v>
      </c>
      <c r="E19" s="4" t="s">
        <v>10</v>
      </c>
      <c r="F19" s="4" t="s">
        <v>17</v>
      </c>
      <c r="G19" s="4" t="s">
        <v>12</v>
      </c>
      <c r="I19" s="6" t="s">
        <v>45</v>
      </c>
    </row>
    <row r="20" spans="1:10">
      <c r="A20" s="4" t="s">
        <v>46</v>
      </c>
      <c r="B20" s="4"/>
      <c r="C20" s="5">
        <v>46213.591620370367</v>
      </c>
      <c r="D20" s="15">
        <v>46213.689826388887</v>
      </c>
      <c r="E20" s="4" t="s">
        <v>10</v>
      </c>
      <c r="F20" s="4" t="s">
        <v>11</v>
      </c>
      <c r="G20" s="4" t="s">
        <v>12</v>
      </c>
      <c r="I20" s="6" t="s">
        <v>9</v>
      </c>
    </row>
    <row r="21" spans="1:10">
      <c r="A21" s="4" t="s">
        <v>47</v>
      </c>
      <c r="B21" s="4"/>
      <c r="C21" s="5">
        <v>46213.595509259256</v>
      </c>
      <c r="D21" s="15">
        <v>46213.689814814818</v>
      </c>
      <c r="E21" s="4" t="s">
        <v>10</v>
      </c>
      <c r="F21" s="4" t="s">
        <v>17</v>
      </c>
      <c r="G21" s="4" t="s">
        <v>12</v>
      </c>
      <c r="I21" s="6" t="s">
        <v>48</v>
      </c>
    </row>
    <row r="22" spans="1:10" ht="16.5">
      <c r="A22" s="24" t="s">
        <v>49</v>
      </c>
      <c r="B22" s="4"/>
      <c r="C22" s="5">
        <v>46213.596863425926</v>
      </c>
      <c r="D22" s="15">
        <v>46213.690057870372</v>
      </c>
      <c r="E22" s="4" t="s">
        <v>10</v>
      </c>
      <c r="F22" s="4" t="s">
        <v>17</v>
      </c>
      <c r="G22" s="4" t="s">
        <v>12</v>
      </c>
      <c r="H22" s="7"/>
      <c r="I22" s="6" t="s">
        <v>50</v>
      </c>
    </row>
    <row r="23" spans="1:10" ht="16.5">
      <c r="A23" s="24" t="s">
        <v>51</v>
      </c>
      <c r="B23" s="4"/>
      <c r="C23" s="5">
        <v>46213.597430555557</v>
      </c>
      <c r="D23" s="15">
        <v>46213.597662037035</v>
      </c>
      <c r="E23" s="4" t="s">
        <v>10</v>
      </c>
      <c r="F23" s="4" t="s">
        <v>17</v>
      </c>
      <c r="G23" s="4" t="s">
        <v>12</v>
      </c>
      <c r="H23" s="7"/>
      <c r="I23" s="6" t="s">
        <v>52</v>
      </c>
    </row>
    <row r="24" spans="1:10">
      <c r="A24" s="4" t="s">
        <v>53</v>
      </c>
      <c r="B24" s="4"/>
      <c r="C24" s="5">
        <v>46213.597951388889</v>
      </c>
      <c r="D24" s="15">
        <v>46213.627337962964</v>
      </c>
      <c r="E24" s="4" t="s">
        <v>10</v>
      </c>
      <c r="F24" s="4" t="s">
        <v>11</v>
      </c>
      <c r="G24" s="4" t="s">
        <v>12</v>
      </c>
      <c r="H24" s="7"/>
      <c r="I24" s="6" t="s">
        <v>25</v>
      </c>
    </row>
    <row r="25" spans="1:10">
      <c r="A25" s="4" t="s">
        <v>54</v>
      </c>
      <c r="B25" s="4"/>
      <c r="C25" s="5">
        <v>46213.598078703704</v>
      </c>
      <c r="D25" s="15">
        <v>46213.689872685187</v>
      </c>
      <c r="E25" s="4" t="s">
        <v>10</v>
      </c>
      <c r="F25" s="4" t="s">
        <v>11</v>
      </c>
      <c r="G25" s="4" t="s">
        <v>12</v>
      </c>
      <c r="I25" s="6" t="s">
        <v>55</v>
      </c>
    </row>
    <row r="26" spans="1:10">
      <c r="A26" s="4" t="s">
        <v>56</v>
      </c>
      <c r="B26" s="4"/>
      <c r="C26" s="5">
        <v>46213.603055555555</v>
      </c>
      <c r="D26" s="15">
        <v>46213.670300925929</v>
      </c>
      <c r="E26" s="4" t="s">
        <v>10</v>
      </c>
      <c r="F26" s="4" t="s">
        <v>17</v>
      </c>
      <c r="G26" s="4" t="s">
        <v>12</v>
      </c>
      <c r="H26" s="7"/>
      <c r="I26" s="9" t="s">
        <v>57</v>
      </c>
    </row>
    <row r="27" spans="1:10" ht="16.5">
      <c r="A27" s="24" t="s">
        <v>58</v>
      </c>
      <c r="B27" s="4"/>
      <c r="C27" s="5">
        <v>46213.632199074076</v>
      </c>
      <c r="D27" s="15">
        <v>46213.690057870372</v>
      </c>
      <c r="E27" s="4" t="s">
        <v>10</v>
      </c>
      <c r="F27" s="4" t="s">
        <v>17</v>
      </c>
      <c r="G27" s="4" t="s">
        <v>12</v>
      </c>
      <c r="H27" s="7"/>
      <c r="I27" s="10" t="s">
        <v>59</v>
      </c>
    </row>
    <row r="28" spans="1:10">
      <c r="A28" s="4" t="s">
        <v>31</v>
      </c>
      <c r="B28" s="4"/>
      <c r="C28" s="5">
        <v>46213.632696759261</v>
      </c>
      <c r="D28" s="15">
        <v>46213.662881944445</v>
      </c>
      <c r="E28" s="4" t="s">
        <v>10</v>
      </c>
      <c r="F28" s="4" t="s">
        <v>11</v>
      </c>
      <c r="G28" s="4" t="s">
        <v>12</v>
      </c>
      <c r="H28" s="7"/>
      <c r="I28" s="9" t="s">
        <v>60</v>
      </c>
    </row>
    <row r="29" spans="1:10">
      <c r="A29" s="4" t="s">
        <v>61</v>
      </c>
      <c r="B29" s="4"/>
      <c r="C29" s="5">
        <v>46213.671203703707</v>
      </c>
      <c r="D29" s="15">
        <v>46213.690057870372</v>
      </c>
      <c r="E29" s="4" t="s">
        <v>10</v>
      </c>
      <c r="F29" s="4" t="s">
        <v>11</v>
      </c>
      <c r="G29" s="4" t="s">
        <v>12</v>
      </c>
      <c r="H29" s="7"/>
      <c r="I29" s="9" t="s">
        <v>62</v>
      </c>
    </row>
    <row r="30" spans="1:10">
      <c r="A30" s="4" t="s">
        <v>63</v>
      </c>
      <c r="B30" s="4"/>
      <c r="C30" s="5">
        <v>46213.68072916667</v>
      </c>
      <c r="D30" s="15">
        <v>46213.682233796295</v>
      </c>
      <c r="E30" s="4" t="s">
        <v>10</v>
      </c>
      <c r="F30" s="4" t="s">
        <v>11</v>
      </c>
      <c r="G30" s="4" t="s">
        <v>12</v>
      </c>
      <c r="H30" s="7"/>
      <c r="I30" s="6" t="s">
        <v>64</v>
      </c>
    </row>
    <row r="31" spans="1:10">
      <c r="I31" s="6" t="s">
        <v>65</v>
      </c>
    </row>
    <row r="32" spans="1:10">
      <c r="A32" s="1" t="s">
        <v>66</v>
      </c>
    </row>
    <row r="33" spans="1:8">
      <c r="A33" s="3" t="s">
        <v>1</v>
      </c>
      <c r="B33" s="3" t="s">
        <v>2</v>
      </c>
      <c r="C33" s="3" t="s">
        <v>3</v>
      </c>
      <c r="D33" s="14" t="s">
        <v>4</v>
      </c>
      <c r="E33" s="3" t="s">
        <v>5</v>
      </c>
      <c r="F33" s="3" t="s">
        <v>6</v>
      </c>
      <c r="G33" s="3" t="s">
        <v>7</v>
      </c>
      <c r="H33" s="8"/>
    </row>
    <row r="34" spans="1:8">
      <c r="A34" s="4" t="s">
        <v>67</v>
      </c>
      <c r="B34" s="4"/>
      <c r="C34" s="5">
        <v>46215.82671296296</v>
      </c>
      <c r="D34" s="15">
        <v>46215.928877314815</v>
      </c>
      <c r="E34" s="4" t="s">
        <v>10</v>
      </c>
      <c r="F34" s="4" t="s">
        <v>17</v>
      </c>
      <c r="G34" s="4" t="s">
        <v>12</v>
      </c>
    </row>
    <row r="35" spans="1:8">
      <c r="A35" s="4" t="s">
        <v>68</v>
      </c>
      <c r="B35" s="4"/>
      <c r="C35" s="5">
        <v>46215.835231481484</v>
      </c>
      <c r="D35" s="15">
        <v>46215.928865740738</v>
      </c>
      <c r="E35" s="4" t="s">
        <v>10</v>
      </c>
      <c r="F35" s="4" t="s">
        <v>17</v>
      </c>
      <c r="G35" s="4" t="s">
        <v>12</v>
      </c>
    </row>
    <row r="36" spans="1:8">
      <c r="A36" s="4" t="s">
        <v>33</v>
      </c>
      <c r="B36" s="4"/>
      <c r="C36" s="5">
        <v>46215.835856481484</v>
      </c>
      <c r="D36" s="15">
        <v>46215.928807870368</v>
      </c>
      <c r="E36" s="4" t="s">
        <v>10</v>
      </c>
      <c r="F36" s="4" t="s">
        <v>11</v>
      </c>
      <c r="G36" s="4" t="s">
        <v>12</v>
      </c>
    </row>
    <row r="37" spans="1:8">
      <c r="A37" s="4" t="s">
        <v>46</v>
      </c>
      <c r="B37" s="4"/>
      <c r="C37" s="5">
        <v>46215.835949074077</v>
      </c>
      <c r="D37" s="15">
        <v>46215.928842592592</v>
      </c>
      <c r="E37" s="4" t="s">
        <v>10</v>
      </c>
      <c r="F37" s="4" t="s">
        <v>11</v>
      </c>
      <c r="G37" s="4" t="s">
        <v>12</v>
      </c>
    </row>
    <row r="38" spans="1:8">
      <c r="A38" s="4" t="s">
        <v>27</v>
      </c>
      <c r="B38" s="4"/>
      <c r="C38" s="5">
        <v>46215.837175925924</v>
      </c>
      <c r="D38" s="15">
        <v>46215.918622685182</v>
      </c>
      <c r="E38" s="4" t="s">
        <v>10</v>
      </c>
      <c r="F38" s="4" t="s">
        <v>11</v>
      </c>
      <c r="G38" s="4" t="s">
        <v>12</v>
      </c>
    </row>
    <row r="39" spans="1:8">
      <c r="A39" s="4" t="s">
        <v>47</v>
      </c>
      <c r="B39" s="4"/>
      <c r="C39" s="5">
        <v>46215.838541666664</v>
      </c>
      <c r="D39" s="15">
        <v>46215.928831018522</v>
      </c>
      <c r="E39" s="4" t="s">
        <v>10</v>
      </c>
      <c r="F39" s="4" t="s">
        <v>11</v>
      </c>
      <c r="G39" s="4" t="s">
        <v>12</v>
      </c>
    </row>
    <row r="40" spans="1:8">
      <c r="A40" s="4" t="s">
        <v>35</v>
      </c>
      <c r="B40" s="4"/>
      <c r="C40" s="5">
        <v>46215.838993055557</v>
      </c>
      <c r="D40" s="15">
        <v>46215.928865740738</v>
      </c>
      <c r="E40" s="4" t="s">
        <v>10</v>
      </c>
      <c r="F40" s="4" t="s">
        <v>17</v>
      </c>
      <c r="G40" s="4" t="s">
        <v>12</v>
      </c>
    </row>
    <row r="41" spans="1:8" ht="16.5">
      <c r="A41" s="24" t="s">
        <v>58</v>
      </c>
      <c r="B41" s="4"/>
      <c r="C41" s="5">
        <v>46215.841180555559</v>
      </c>
      <c r="D41" s="15">
        <v>46215.928865740738</v>
      </c>
      <c r="E41" s="4" t="s">
        <v>10</v>
      </c>
      <c r="F41" s="4" t="s">
        <v>17</v>
      </c>
      <c r="G41" s="4" t="s">
        <v>12</v>
      </c>
    </row>
    <row r="42" spans="1:8">
      <c r="A42" s="4" t="s">
        <v>9</v>
      </c>
      <c r="B42" s="4"/>
      <c r="C42" s="5">
        <v>46215.842002314814</v>
      </c>
      <c r="D42" s="15">
        <v>46215.928865740738</v>
      </c>
      <c r="E42" s="4" t="s">
        <v>10</v>
      </c>
      <c r="F42" s="4" t="s">
        <v>17</v>
      </c>
      <c r="G42" s="4" t="s">
        <v>12</v>
      </c>
    </row>
    <row r="43" spans="1:8">
      <c r="A43" s="6">
        <v>90</v>
      </c>
      <c r="B43" s="4"/>
      <c r="C43" s="5">
        <v>46215.843738425923</v>
      </c>
      <c r="D43" s="15">
        <v>46215.849490740744</v>
      </c>
      <c r="E43" s="4" t="s">
        <v>10</v>
      </c>
      <c r="F43" s="4" t="s">
        <v>11</v>
      </c>
      <c r="G43" s="4" t="s">
        <v>12</v>
      </c>
    </row>
    <row r="44" spans="1:8">
      <c r="A44" s="4" t="s">
        <v>14</v>
      </c>
      <c r="B44" s="4"/>
      <c r="C44" s="5">
        <v>46215.846493055556</v>
      </c>
      <c r="D44" s="15">
        <v>46215.928819444445</v>
      </c>
      <c r="E44" s="4" t="s">
        <v>10</v>
      </c>
      <c r="F44" s="4" t="s">
        <v>11</v>
      </c>
      <c r="G44" s="4" t="s">
        <v>12</v>
      </c>
    </row>
    <row r="45" spans="1:8">
      <c r="A45" s="4" t="s">
        <v>31</v>
      </c>
      <c r="B45" s="4"/>
      <c r="C45" s="5">
        <v>46215.847129629627</v>
      </c>
      <c r="D45" s="15">
        <v>46215.847268518519</v>
      </c>
      <c r="E45" s="4" t="s">
        <v>10</v>
      </c>
      <c r="F45" s="4" t="s">
        <v>11</v>
      </c>
      <c r="G45" s="4" t="s">
        <v>12</v>
      </c>
    </row>
    <row r="46" spans="1:8">
      <c r="A46" s="4" t="s">
        <v>25</v>
      </c>
      <c r="B46" s="4"/>
      <c r="C46" s="5">
        <v>46215.84747685185</v>
      </c>
      <c r="D46" s="15">
        <v>46215.928865740738</v>
      </c>
      <c r="E46" s="4" t="s">
        <v>10</v>
      </c>
      <c r="F46" s="4" t="s">
        <v>11</v>
      </c>
      <c r="G46" s="4" t="s">
        <v>12</v>
      </c>
    </row>
    <row r="47" spans="1:8">
      <c r="A47" s="4" t="s">
        <v>42</v>
      </c>
      <c r="B47" s="4"/>
      <c r="C47" s="5">
        <v>46215.850081018521</v>
      </c>
      <c r="D47" s="15">
        <v>46215.928379629629</v>
      </c>
      <c r="E47" s="4" t="s">
        <v>10</v>
      </c>
      <c r="F47" s="4" t="s">
        <v>11</v>
      </c>
      <c r="G47" s="4" t="s">
        <v>12</v>
      </c>
    </row>
    <row r="48" spans="1:8">
      <c r="A48" s="4" t="s">
        <v>69</v>
      </c>
      <c r="B48" s="4"/>
      <c r="C48" s="5">
        <v>46215.857986111114</v>
      </c>
      <c r="D48" s="15">
        <v>46215.870127314818</v>
      </c>
      <c r="E48" s="4" t="s">
        <v>10</v>
      </c>
      <c r="F48" s="4" t="s">
        <v>11</v>
      </c>
      <c r="G48" s="4" t="s">
        <v>12</v>
      </c>
    </row>
    <row r="49" spans="1:7">
      <c r="A49" s="4" t="s">
        <v>19</v>
      </c>
      <c r="B49" s="4"/>
      <c r="C49" s="5">
        <v>46215.869849537034</v>
      </c>
      <c r="D49" s="15">
        <v>46215.905659722222</v>
      </c>
      <c r="E49" s="4" t="s">
        <v>10</v>
      </c>
      <c r="F49" s="4" t="s">
        <v>11</v>
      </c>
      <c r="G49" s="4" t="s">
        <v>12</v>
      </c>
    </row>
    <row r="50" spans="1:7">
      <c r="A50" s="4" t="s">
        <v>70</v>
      </c>
      <c r="B50" s="4"/>
      <c r="C50" s="5">
        <v>46215.872106481482</v>
      </c>
      <c r="D50" s="15">
        <v>46215.887256944443</v>
      </c>
      <c r="E50" s="4" t="s">
        <v>10</v>
      </c>
      <c r="F50" s="4" t="s">
        <v>17</v>
      </c>
      <c r="G50" s="4" t="s">
        <v>12</v>
      </c>
    </row>
    <row r="51" spans="1:7">
      <c r="A51" s="4" t="s">
        <v>39</v>
      </c>
      <c r="B51" s="4"/>
      <c r="C51" s="5">
        <v>46215.872569444444</v>
      </c>
      <c r="D51" s="15">
        <v>46215.876388888886</v>
      </c>
      <c r="E51" s="4" t="s">
        <v>10</v>
      </c>
      <c r="F51" s="4" t="s">
        <v>17</v>
      </c>
      <c r="G51" s="4" t="s">
        <v>12</v>
      </c>
    </row>
    <row r="52" spans="1:7">
      <c r="A52" s="4" t="s">
        <v>21</v>
      </c>
      <c r="B52" s="4"/>
      <c r="C52" s="5">
        <v>46215.878796296296</v>
      </c>
      <c r="D52" s="15">
        <v>46215.928796296299</v>
      </c>
      <c r="E52" s="4" t="s">
        <v>10</v>
      </c>
      <c r="F52" s="4" t="s">
        <v>17</v>
      </c>
      <c r="G52" s="4" t="s">
        <v>12</v>
      </c>
    </row>
    <row r="53" spans="1:7" ht="16.5">
      <c r="A53" s="24" t="s">
        <v>71</v>
      </c>
      <c r="B53" s="4"/>
      <c r="C53" s="5">
        <v>46215.879571759258</v>
      </c>
      <c r="D53" s="15">
        <v>46215.880636574075</v>
      </c>
      <c r="E53" s="4" t="s">
        <v>10</v>
      </c>
      <c r="F53" s="4" t="s">
        <v>11</v>
      </c>
      <c r="G53" s="4" t="s">
        <v>12</v>
      </c>
    </row>
    <row r="54" spans="1:7">
      <c r="A54" s="4" t="s">
        <v>44</v>
      </c>
      <c r="B54" s="4"/>
      <c r="C54" s="5">
        <v>46215.884641203702</v>
      </c>
      <c r="D54" s="15">
        <v>46215.886840277781</v>
      </c>
      <c r="E54" s="4" t="s">
        <v>10</v>
      </c>
      <c r="F54" s="4" t="s">
        <v>17</v>
      </c>
      <c r="G54" s="4" t="s">
        <v>12</v>
      </c>
    </row>
    <row r="55" spans="1:7" ht="16.5">
      <c r="A55" s="24" t="s">
        <v>72</v>
      </c>
      <c r="B55" s="4"/>
      <c r="C55" s="5">
        <v>46215.891273148147</v>
      </c>
      <c r="D55" s="15">
        <v>46215.928842592592</v>
      </c>
      <c r="E55" s="4" t="s">
        <v>10</v>
      </c>
      <c r="F55" s="4" t="s">
        <v>11</v>
      </c>
      <c r="G55" s="4" t="s">
        <v>12</v>
      </c>
    </row>
    <row r="57" spans="1:7">
      <c r="A57" s="1" t="s">
        <v>73</v>
      </c>
    </row>
    <row r="58" spans="1:7">
      <c r="A58" s="3" t="str">
        <f>[1]participants_97712470572_2026_0!A1</f>
        <v>Name (original name)</v>
      </c>
      <c r="B58" s="3" t="str">
        <f>[1]participants_97712470572_2026_0!B1</f>
        <v>Email</v>
      </c>
      <c r="C58" s="14" t="str">
        <f>[1]participants_97712470572_2026_0!C1</f>
        <v>Join time</v>
      </c>
      <c r="D58" s="14" t="str">
        <f>[1]participants_97712470572_2026_0!D1</f>
        <v>Leave time</v>
      </c>
      <c r="E58" s="3" t="str">
        <f>[1]participants_97712470572_2026_0!E1</f>
        <v>Guest</v>
      </c>
      <c r="F58" s="3" t="str">
        <f>[1]participants_97712470572_2026_0!F1</f>
        <v>Recording disclaimer response</v>
      </c>
      <c r="G58" s="3" t="str">
        <f>[1]participants_97712470572_2026_0!G1</f>
        <v>In waiting room</v>
      </c>
    </row>
    <row r="59" spans="1:7" ht="16.5">
      <c r="A59" s="28" t="str">
        <f>[1]participants_97712470572_2026_0!A2</f>
        <v>mohamed hassan mosalam</v>
      </c>
      <c r="B59" s="4">
        <f>[1]participants_97712470572_2026_0!B2</f>
        <v>0</v>
      </c>
      <c r="C59" s="15">
        <f>[1]participants_97712470572_2026_0!C2</f>
        <v>46222.822592592594</v>
      </c>
      <c r="D59" s="15">
        <f>[1]participants_97712470572_2026_0!D2</f>
        <v>46222.823877314811</v>
      </c>
      <c r="E59" s="4" t="str">
        <f>[1]participants_97712470572_2026_0!E2</f>
        <v>Yes</v>
      </c>
      <c r="F59" s="4" t="str">
        <f>[1]participants_97712470572_2026_0!F2</f>
        <v>No Response</v>
      </c>
      <c r="G59" s="4" t="str">
        <f>[1]participants_97712470572_2026_0!G2</f>
        <v>No</v>
      </c>
    </row>
    <row r="60" spans="1:7">
      <c r="A60" s="4" t="str">
        <f>[1]participants_97712470572_2026_0!A3</f>
        <v>MEDHAT YEHIA</v>
      </c>
      <c r="B60" s="4">
        <f>[1]participants_97712470572_2026_0!B3</f>
        <v>0</v>
      </c>
      <c r="C60" s="15">
        <f>[1]participants_97712470572_2026_0!C3</f>
        <v>46222.822650462964</v>
      </c>
      <c r="D60" s="15">
        <f>[1]participants_97712470572_2026_0!D3</f>
        <v>46222.919699074075</v>
      </c>
      <c r="E60" s="4" t="str">
        <f>[1]participants_97712470572_2026_0!E3</f>
        <v>Yes</v>
      </c>
      <c r="F60" s="4" t="str">
        <f>[1]participants_97712470572_2026_0!F3</f>
        <v>OK</v>
      </c>
      <c r="G60" s="4" t="str">
        <f>[1]participants_97712470572_2026_0!G3</f>
        <v>No</v>
      </c>
    </row>
    <row r="61" spans="1:7">
      <c r="A61" s="4" t="str">
        <f>[1]participants_97712470572_2026_0!A4</f>
        <v>Mohamed Wael Mansour Abdelmonem</v>
      </c>
      <c r="B61" s="4">
        <f>[1]participants_97712470572_2026_0!B4</f>
        <v>0</v>
      </c>
      <c r="C61" s="15">
        <f>[1]participants_97712470572_2026_0!C4</f>
        <v>46222.825509259259</v>
      </c>
      <c r="D61" s="15">
        <f>[1]participants_97712470572_2026_0!D4</f>
        <v>46222.919699074075</v>
      </c>
      <c r="E61" s="4" t="str">
        <f>[1]participants_97712470572_2026_0!E4</f>
        <v>Yes</v>
      </c>
      <c r="F61" s="4" t="str">
        <f>[1]participants_97712470572_2026_0!F4</f>
        <v>OK</v>
      </c>
      <c r="G61" s="4" t="str">
        <f>[1]participants_97712470572_2026_0!G4</f>
        <v>No</v>
      </c>
    </row>
    <row r="62" spans="1:7">
      <c r="A62" s="4" t="str">
        <f>[1]participants_97712470572_2026_0!A5</f>
        <v>Mona karam</v>
      </c>
      <c r="B62" s="4">
        <f>[1]participants_97712470572_2026_0!B5</f>
        <v>0</v>
      </c>
      <c r="C62" s="15">
        <f>[1]participants_97712470572_2026_0!C5</f>
        <v>46222.831944444442</v>
      </c>
      <c r="D62" s="15">
        <f>[1]participants_97712470572_2026_0!D5</f>
        <v>46222.844050925924</v>
      </c>
      <c r="E62" s="4" t="str">
        <f>[1]participants_97712470572_2026_0!E5</f>
        <v>Yes</v>
      </c>
      <c r="F62" s="4" t="str">
        <f>[1]participants_97712470572_2026_0!F5</f>
        <v>No Response</v>
      </c>
      <c r="G62" s="4" t="str">
        <f>[1]participants_97712470572_2026_0!G5</f>
        <v>No</v>
      </c>
    </row>
    <row r="63" spans="1:7">
      <c r="A63" s="4" t="str">
        <f>[1]participants_97712470572_2026_0!A7</f>
        <v>Kevin akram eskander (Kevin)</v>
      </c>
      <c r="B63" s="4">
        <f>[1]participants_97712470572_2026_0!B7</f>
        <v>0</v>
      </c>
      <c r="C63" s="15">
        <f>[1]participants_97712470572_2026_0!C7</f>
        <v>46222.83253472222</v>
      </c>
      <c r="D63" s="15">
        <f>[1]participants_97712470572_2026_0!D7</f>
        <v>46222.919699074075</v>
      </c>
      <c r="E63" s="4" t="str">
        <f>[1]participants_97712470572_2026_0!E7</f>
        <v>Yes</v>
      </c>
      <c r="F63" s="4" t="str">
        <f>[1]participants_97712470572_2026_0!F7</f>
        <v>OK</v>
      </c>
      <c r="G63" s="4" t="str">
        <f>[1]participants_97712470572_2026_0!G7</f>
        <v>No</v>
      </c>
    </row>
    <row r="64" spans="1:7">
      <c r="A64" s="4" t="str">
        <f>[1]participants_97712470572_2026_0!A8</f>
        <v>Marwan Ezzat Farag</v>
      </c>
      <c r="B64" s="4">
        <f>[1]participants_97712470572_2026_0!B8</f>
        <v>0</v>
      </c>
      <c r="C64" s="15">
        <f>[1]participants_97712470572_2026_0!C8</f>
        <v>46222.832673611112</v>
      </c>
      <c r="D64" s="15">
        <f>[1]participants_97712470572_2026_0!D8</f>
        <v>46222.838043981479</v>
      </c>
      <c r="E64" s="4" t="str">
        <f>[1]participants_97712470572_2026_0!E8</f>
        <v>Yes</v>
      </c>
      <c r="F64" s="4" t="str">
        <f>[1]participants_97712470572_2026_0!F8</f>
        <v>No Response</v>
      </c>
      <c r="G64" s="4" t="str">
        <f>[1]participants_97712470572_2026_0!G8</f>
        <v>No</v>
      </c>
    </row>
    <row r="65" spans="1:7">
      <c r="A65" s="4" t="str">
        <f>[1]participants_97712470572_2026_0!A9</f>
        <v>khaled niazy</v>
      </c>
      <c r="B65" s="4">
        <f>[1]participants_97712470572_2026_0!B9</f>
        <v>0</v>
      </c>
      <c r="C65" s="15">
        <f>[1]participants_97712470572_2026_0!C9</f>
        <v>46222.833182870374</v>
      </c>
      <c r="D65" s="15">
        <f>[1]participants_97712470572_2026_0!D9</f>
        <v>46222.853344907409</v>
      </c>
      <c r="E65" s="4" t="str">
        <f>[1]participants_97712470572_2026_0!E9</f>
        <v>Yes</v>
      </c>
      <c r="F65" s="4" t="str">
        <f>[1]participants_97712470572_2026_0!F9</f>
        <v>No Response</v>
      </c>
      <c r="G65" s="4" t="str">
        <f>[1]participants_97712470572_2026_0!G9</f>
        <v>No</v>
      </c>
    </row>
    <row r="66" spans="1:7">
      <c r="A66" s="4" t="str">
        <f>[1]participants_97712470572_2026_0!A10</f>
        <v>Dana Ahmed Ammar</v>
      </c>
      <c r="B66" s="4">
        <f>[1]participants_97712470572_2026_0!B10</f>
        <v>0</v>
      </c>
      <c r="C66" s="15">
        <f>[1]participants_97712470572_2026_0!C10</f>
        <v>46222.833356481482</v>
      </c>
      <c r="D66" s="15">
        <f>[1]participants_97712470572_2026_0!D10</f>
        <v>46222.909074074072</v>
      </c>
      <c r="E66" s="4" t="str">
        <f>[1]participants_97712470572_2026_0!E10</f>
        <v>Yes</v>
      </c>
      <c r="F66" s="4" t="str">
        <f>[1]participants_97712470572_2026_0!F10</f>
        <v>No Response</v>
      </c>
      <c r="G66" s="4" t="str">
        <f>[1]participants_97712470572_2026_0!G10</f>
        <v>No</v>
      </c>
    </row>
    <row r="67" spans="1:7" ht="16.5">
      <c r="A67" s="28" t="str">
        <f>[1]participants_97712470572_2026_0!A11</f>
        <v>Mostafa Ibrahim</v>
      </c>
      <c r="B67" s="4">
        <f>[1]participants_97712470572_2026_0!B11</f>
        <v>0</v>
      </c>
      <c r="C67" s="15">
        <f>[1]participants_97712470572_2026_0!C11</f>
        <v>46222.834270833337</v>
      </c>
      <c r="D67" s="15">
        <f>[1]participants_97712470572_2026_0!D11</f>
        <v>46222.919699074075</v>
      </c>
      <c r="E67" s="4" t="str">
        <f>[1]participants_97712470572_2026_0!E11</f>
        <v>Yes</v>
      </c>
      <c r="F67" s="4" t="str">
        <f>[1]participants_97712470572_2026_0!F11</f>
        <v>OK</v>
      </c>
      <c r="G67" s="4" t="str">
        <f>[1]participants_97712470572_2026_0!G11</f>
        <v>No</v>
      </c>
    </row>
    <row r="68" spans="1:7">
      <c r="A68" s="4" t="str">
        <f>[1]participants_97712470572_2026_0!A12</f>
        <v>shahd reda</v>
      </c>
      <c r="B68" s="4">
        <f>[1]participants_97712470572_2026_0!B12</f>
        <v>0</v>
      </c>
      <c r="C68" s="15">
        <f>[1]participants_97712470572_2026_0!C12</f>
        <v>46222.834282407406</v>
      </c>
      <c r="D68" s="15">
        <f>[1]participants_97712470572_2026_0!D12</f>
        <v>46222.899699074071</v>
      </c>
      <c r="E68" s="4" t="str">
        <f>[1]participants_97712470572_2026_0!E12</f>
        <v>Yes</v>
      </c>
      <c r="F68" s="4" t="str">
        <f>[1]participants_97712470572_2026_0!F12</f>
        <v>OK</v>
      </c>
      <c r="G68" s="4" t="str">
        <f>[1]participants_97712470572_2026_0!G12</f>
        <v>No</v>
      </c>
    </row>
    <row r="69" spans="1:7">
      <c r="A69" s="4" t="str">
        <f>[1]participants_97712470572_2026_0!A13</f>
        <v>somaia essam</v>
      </c>
      <c r="B69" s="4">
        <f>[1]participants_97712470572_2026_0!B13</f>
        <v>0</v>
      </c>
      <c r="C69" s="15">
        <f>[1]participants_97712470572_2026_0!C13</f>
        <v>46222.834687499999</v>
      </c>
      <c r="D69" s="15">
        <f>[1]participants_97712470572_2026_0!D13</f>
        <v>46222.919699074075</v>
      </c>
      <c r="E69" s="4" t="str">
        <f>[1]participants_97712470572_2026_0!E13</f>
        <v>Yes</v>
      </c>
      <c r="F69" s="4" t="str">
        <f>[1]participants_97712470572_2026_0!F13</f>
        <v>No Response</v>
      </c>
      <c r="G69" s="4" t="str">
        <f>[1]participants_97712470572_2026_0!G13</f>
        <v>No</v>
      </c>
    </row>
    <row r="70" spans="1:7">
      <c r="A70" s="4" t="str">
        <f>[1]participants_97712470572_2026_0!A14</f>
        <v>Farida Hossam</v>
      </c>
      <c r="B70" s="4">
        <f>[1]participants_97712470572_2026_0!B14</f>
        <v>0</v>
      </c>
      <c r="C70" s="15">
        <f>[1]participants_97712470572_2026_0!C14</f>
        <v>46222.835844907408</v>
      </c>
      <c r="D70" s="15">
        <f>[1]participants_97712470572_2026_0!D14</f>
        <v>46222.919664351852</v>
      </c>
      <c r="E70" s="4" t="str">
        <f>[1]participants_97712470572_2026_0!E14</f>
        <v>Yes</v>
      </c>
      <c r="F70" s="4" t="str">
        <f>[1]participants_97712470572_2026_0!F14</f>
        <v>OK</v>
      </c>
      <c r="G70" s="4" t="str">
        <f>[1]participants_97712470572_2026_0!G14</f>
        <v>No</v>
      </c>
    </row>
    <row r="71" spans="1:7">
      <c r="A71" s="4" t="str">
        <f>[1]participants_97712470572_2026_0!A15</f>
        <v>Basmala sorour</v>
      </c>
      <c r="B71" s="4">
        <f>[1]participants_97712470572_2026_0!B15</f>
        <v>0</v>
      </c>
      <c r="C71" s="15">
        <f>[1]participants_97712470572_2026_0!C15</f>
        <v>46222.837418981479</v>
      </c>
      <c r="D71" s="15">
        <f>[1]participants_97712470572_2026_0!D15</f>
        <v>46222.919699074075</v>
      </c>
      <c r="E71" s="4" t="str">
        <f>[1]participants_97712470572_2026_0!E15</f>
        <v>Yes</v>
      </c>
      <c r="F71" s="4" t="str">
        <f>[1]participants_97712470572_2026_0!F15</f>
        <v>OK</v>
      </c>
      <c r="G71" s="4" t="str">
        <f>[1]participants_97712470572_2026_0!G15</f>
        <v>No</v>
      </c>
    </row>
    <row r="72" spans="1:7">
      <c r="A72" s="4" t="str">
        <f>[1]participants_97712470572_2026_0!A16</f>
        <v>Kevin akram eskander</v>
      </c>
      <c r="B72" s="4">
        <f>[1]participants_97712470572_2026_0!B16</f>
        <v>0</v>
      </c>
      <c r="C72" s="15">
        <f>[1]participants_97712470572_2026_0!C16</f>
        <v>46222.838530092595</v>
      </c>
      <c r="D72" s="15">
        <f>[1]participants_97712470572_2026_0!D16</f>
        <v>46222.919675925928</v>
      </c>
      <c r="E72" s="4" t="str">
        <f>[1]participants_97712470572_2026_0!E16</f>
        <v>Yes</v>
      </c>
      <c r="F72" s="4" t="str">
        <f>[1]participants_97712470572_2026_0!F16</f>
        <v>OK</v>
      </c>
      <c r="G72" s="4" t="str">
        <f>[1]participants_97712470572_2026_0!G16</f>
        <v>No</v>
      </c>
    </row>
    <row r="73" spans="1:7">
      <c r="A73" s="4" t="str">
        <f>[1]participants_97712470572_2026_0!A17</f>
        <v>Mostafa Ibrahim Eldisoki</v>
      </c>
      <c r="B73" s="4">
        <f>[1]participants_97712470572_2026_0!B17</f>
        <v>0</v>
      </c>
      <c r="C73" s="15">
        <f>[1]participants_97712470572_2026_0!C17</f>
        <v>46222.83866898148</v>
      </c>
      <c r="D73" s="15">
        <f>[1]participants_97712470572_2026_0!D17</f>
        <v>46222.919699074075</v>
      </c>
      <c r="E73" s="4" t="str">
        <f>[1]participants_97712470572_2026_0!E17</f>
        <v>Yes</v>
      </c>
      <c r="F73" s="4" t="str">
        <f>[1]participants_97712470572_2026_0!F17</f>
        <v>No Response</v>
      </c>
      <c r="G73" s="4" t="str">
        <f>[1]participants_97712470572_2026_0!G17</f>
        <v>No</v>
      </c>
    </row>
    <row r="74" spans="1:7">
      <c r="A74" s="4" t="str">
        <f>[1]participants_97712470572_2026_0!A18</f>
        <v>Basmala Mohamed Sabry</v>
      </c>
      <c r="B74" s="4">
        <f>[1]participants_97712470572_2026_0!B18</f>
        <v>0</v>
      </c>
      <c r="C74" s="15">
        <f>[1]participants_97712470572_2026_0!C18</f>
        <v>46222.838831018518</v>
      </c>
      <c r="D74" s="15">
        <f>[1]participants_97712470572_2026_0!D18</f>
        <v>46222.839803240742</v>
      </c>
      <c r="E74" s="4" t="str">
        <f>[1]participants_97712470572_2026_0!E18</f>
        <v>Yes</v>
      </c>
      <c r="F74" s="4" t="str">
        <f>[1]participants_97712470572_2026_0!F18</f>
        <v>No Response</v>
      </c>
      <c r="G74" s="4" t="str">
        <f>[1]participants_97712470572_2026_0!G18</f>
        <v>No</v>
      </c>
    </row>
    <row r="75" spans="1:7">
      <c r="A75" s="4" t="str">
        <f>[1]participants_97712470572_2026_0!A19</f>
        <v>muhammad radi</v>
      </c>
      <c r="B75" s="4">
        <f>[1]participants_97712470572_2026_0!B19</f>
        <v>0</v>
      </c>
      <c r="C75" s="15">
        <f>[1]participants_97712470572_2026_0!C19</f>
        <v>46222.839814814812</v>
      </c>
      <c r="D75" s="15">
        <f>[1]participants_97712470572_2026_0!D19</f>
        <v>46222.898217592592</v>
      </c>
      <c r="E75" s="4" t="str">
        <f>[1]participants_97712470572_2026_0!E19</f>
        <v>Yes</v>
      </c>
      <c r="F75" s="4" t="str">
        <f>[1]participants_97712470572_2026_0!F19</f>
        <v>No Response</v>
      </c>
      <c r="G75" s="4" t="str">
        <f>[1]participants_97712470572_2026_0!G19</f>
        <v>No</v>
      </c>
    </row>
    <row r="76" spans="1:7">
      <c r="A76" s="4" t="str">
        <f>[1]participants_97712470572_2026_0!A20</f>
        <v>moaz zaki</v>
      </c>
      <c r="B76" s="4">
        <f>[1]participants_97712470572_2026_0!B20</f>
        <v>0</v>
      </c>
      <c r="C76" s="15">
        <f>[1]participants_97712470572_2026_0!C20</f>
        <v>46222.84107638889</v>
      </c>
      <c r="D76" s="15">
        <f>[1]participants_97712470572_2026_0!D20</f>
        <v>46222.909768518519</v>
      </c>
      <c r="E76" s="4" t="str">
        <f>[1]participants_97712470572_2026_0!E20</f>
        <v>Yes</v>
      </c>
      <c r="F76" s="4" t="str">
        <f>[1]participants_97712470572_2026_0!F20</f>
        <v>No Response</v>
      </c>
      <c r="G76" s="4" t="str">
        <f>[1]participants_97712470572_2026_0!G20</f>
        <v>No</v>
      </c>
    </row>
    <row r="77" spans="1:7" ht="16.5">
      <c r="A77" s="28" t="str">
        <f>[1]participants_97712470572_2026_0!A21</f>
        <v>Prof. Ehab Abousaif</v>
      </c>
      <c r="B77" s="4">
        <f>[1]participants_97712470572_2026_0!B21</f>
        <v>0</v>
      </c>
      <c r="C77" s="15">
        <f>[1]participants_97712470572_2026_0!C21</f>
        <v>46222.841469907406</v>
      </c>
      <c r="D77" s="15">
        <f>[1]participants_97712470572_2026_0!D21</f>
        <v>46222.919652777775</v>
      </c>
      <c r="E77" s="4" t="str">
        <f>[1]participants_97712470572_2026_0!E21</f>
        <v>Yes</v>
      </c>
      <c r="F77" s="4" t="str">
        <f>[1]participants_97712470572_2026_0!F21</f>
        <v>OK</v>
      </c>
      <c r="G77" s="4" t="str">
        <f>[1]participants_97712470572_2026_0!G21</f>
        <v>No</v>
      </c>
    </row>
    <row r="78" spans="1:7" ht="16.5">
      <c r="A78" s="28" t="str">
        <f>[1]participants_97712470572_2026_0!A22</f>
        <v>Ehab Abousaif</v>
      </c>
      <c r="B78" s="4">
        <f>[1]participants_97712470572_2026_0!B22</f>
        <v>0</v>
      </c>
      <c r="C78" s="15">
        <f>[1]participants_97712470572_2026_0!C22</f>
        <v>46222.841493055559</v>
      </c>
      <c r="D78" s="15">
        <f>[1]participants_97712470572_2026_0!D22</f>
        <v>46222.904675925929</v>
      </c>
      <c r="E78" s="4" t="str">
        <f>[1]participants_97712470572_2026_0!E22</f>
        <v>Yes</v>
      </c>
      <c r="F78" s="4" t="str">
        <f>[1]participants_97712470572_2026_0!F22</f>
        <v>No Response</v>
      </c>
      <c r="G78" s="4" t="str">
        <f>[1]participants_97712470572_2026_0!G22</f>
        <v>No</v>
      </c>
    </row>
    <row r="79" spans="1:7">
      <c r="A79" s="4" t="str">
        <f>[1]participants_97712470572_2026_0!A23</f>
        <v>Ahmed Magdy</v>
      </c>
      <c r="B79" s="4">
        <f>[1]participants_97712470572_2026_0!B23</f>
        <v>0</v>
      </c>
      <c r="C79" s="15">
        <f>[1]participants_97712470572_2026_0!C23</f>
        <v>46222.842118055552</v>
      </c>
      <c r="D79" s="15">
        <f>[1]participants_97712470572_2026_0!D23</f>
        <v>46222.919699074075</v>
      </c>
      <c r="E79" s="4" t="str">
        <f>[1]participants_97712470572_2026_0!E23</f>
        <v>Yes</v>
      </c>
      <c r="F79" s="4" t="str">
        <f>[1]participants_97712470572_2026_0!F23</f>
        <v>OK</v>
      </c>
      <c r="G79" s="4" t="str">
        <f>[1]participants_97712470572_2026_0!G23</f>
        <v>No</v>
      </c>
    </row>
    <row r="80" spans="1:7">
      <c r="A80" s="4" t="str">
        <f>[1]participants_97712470572_2026_0!A24</f>
        <v>Youssef Ali</v>
      </c>
      <c r="B80" s="4">
        <f>[1]participants_97712470572_2026_0!B24</f>
        <v>0</v>
      </c>
      <c r="C80" s="15">
        <f>[1]participants_97712470572_2026_0!C24</f>
        <v>46222.842604166668</v>
      </c>
      <c r="D80" s="15">
        <f>[1]participants_97712470572_2026_0!D24</f>
        <v>46222.919699074075</v>
      </c>
      <c r="E80" s="4" t="str">
        <f>[1]participants_97712470572_2026_0!E24</f>
        <v>Yes</v>
      </c>
      <c r="F80" s="4" t="str">
        <f>[1]participants_97712470572_2026_0!F24</f>
        <v>OK</v>
      </c>
      <c r="G80" s="4" t="str">
        <f>[1]participants_97712470572_2026_0!G24</f>
        <v>No</v>
      </c>
    </row>
    <row r="81" spans="1:7">
      <c r="A81" s="4" t="str">
        <f>[1]participants_97712470572_2026_0!A25</f>
        <v>anwar</v>
      </c>
      <c r="B81" s="4">
        <f>[1]participants_97712470572_2026_0!B25</f>
        <v>0</v>
      </c>
      <c r="C81" s="15">
        <f>[1]participants_97712470572_2026_0!C25</f>
        <v>46222.843807870369</v>
      </c>
      <c r="D81" s="15">
        <f>[1]participants_97712470572_2026_0!D25</f>
        <v>46222.84814814815</v>
      </c>
      <c r="E81" s="4" t="str">
        <f>[1]participants_97712470572_2026_0!E25</f>
        <v>Yes</v>
      </c>
      <c r="F81" s="4" t="str">
        <f>[1]participants_97712470572_2026_0!F25</f>
        <v>OK</v>
      </c>
      <c r="G81" s="4" t="str">
        <f>[1]participants_97712470572_2026_0!G25</f>
        <v>No</v>
      </c>
    </row>
    <row r="82" spans="1:7">
      <c r="A82" s="4" t="str">
        <f>[1]participants_97712470572_2026_0!A26</f>
        <v>Karen nagy (Karen)</v>
      </c>
      <c r="B82" s="4">
        <f>[1]participants_97712470572_2026_0!B26</f>
        <v>0</v>
      </c>
      <c r="C82" s="15">
        <f>[1]participants_97712470572_2026_0!C26</f>
        <v>46222.844050925924</v>
      </c>
      <c r="D82" s="15">
        <f>[1]participants_97712470572_2026_0!D26</f>
        <v>46222.919675925928</v>
      </c>
      <c r="E82" s="4" t="str">
        <f>[1]participants_97712470572_2026_0!E26</f>
        <v>Yes</v>
      </c>
      <c r="F82" s="4" t="str">
        <f>[1]participants_97712470572_2026_0!F26</f>
        <v>No Response</v>
      </c>
      <c r="G82" s="4" t="str">
        <f>[1]participants_97712470572_2026_0!G26</f>
        <v>No</v>
      </c>
    </row>
    <row r="83" spans="1:7">
      <c r="A83" s="4" t="str">
        <f>[1]participants_97712470572_2026_0!A27</f>
        <v>Khaled Naser Abdelazeem Mansour</v>
      </c>
      <c r="B83" s="4">
        <f>[1]participants_97712470572_2026_0!B27</f>
        <v>0</v>
      </c>
      <c r="C83" s="15">
        <f>[1]participants_97712470572_2026_0!C27</f>
        <v>46222.844166666669</v>
      </c>
      <c r="D83" s="15">
        <f>[1]participants_97712470572_2026_0!D27</f>
        <v>46222.847974537035</v>
      </c>
      <c r="E83" s="4" t="str">
        <f>[1]participants_97712470572_2026_0!E27</f>
        <v>Yes</v>
      </c>
      <c r="F83" s="4" t="str">
        <f>[1]participants_97712470572_2026_0!F27</f>
        <v>No Response</v>
      </c>
      <c r="G83" s="4" t="str">
        <f>[1]participants_97712470572_2026_0!G27</f>
        <v>No</v>
      </c>
    </row>
    <row r="84" spans="1:7">
      <c r="A84" s="4" t="str">
        <f>[1]participants_97712470572_2026_0!A28</f>
        <v>abdulrahman Muhammed Eid</v>
      </c>
      <c r="B84" s="4">
        <f>[1]participants_97712470572_2026_0!B28</f>
        <v>0</v>
      </c>
      <c r="C84" s="15">
        <f>[1]participants_97712470572_2026_0!C28</f>
        <v>46222.847986111112</v>
      </c>
      <c r="D84" s="15">
        <f>[1]participants_97712470572_2026_0!D28</f>
        <v>46222.919641203705</v>
      </c>
      <c r="E84" s="4" t="str">
        <f>[1]participants_97712470572_2026_0!E28</f>
        <v>Yes</v>
      </c>
      <c r="F84" s="4" t="str">
        <f>[1]participants_97712470572_2026_0!F28</f>
        <v>No Response</v>
      </c>
      <c r="G84" s="4" t="str">
        <f>[1]participants_97712470572_2026_0!G28</f>
        <v>No</v>
      </c>
    </row>
    <row r="85" spans="1:7">
      <c r="A85" s="4" t="str">
        <f>[1]participants_97712470572_2026_0!A29</f>
        <v>Khalid boriq Hamoda</v>
      </c>
      <c r="B85" s="4">
        <f>[1]participants_97712470572_2026_0!B29</f>
        <v>0</v>
      </c>
      <c r="C85" s="15">
        <f>[1]participants_97712470572_2026_0!C29</f>
        <v>46222.84815972222</v>
      </c>
      <c r="D85" s="15">
        <f>[1]participants_97712470572_2026_0!D29</f>
        <v>46222.919699074075</v>
      </c>
      <c r="E85" s="4" t="str">
        <f>[1]participants_97712470572_2026_0!E29</f>
        <v>Yes</v>
      </c>
      <c r="F85" s="4" t="str">
        <f>[1]participants_97712470572_2026_0!F29</f>
        <v>No Response</v>
      </c>
      <c r="G85" s="4" t="str">
        <f>[1]participants_97712470572_2026_0!G29</f>
        <v>No</v>
      </c>
    </row>
    <row r="86" spans="1:7">
      <c r="C86" s="13"/>
    </row>
    <row r="87" spans="1:7">
      <c r="A87" s="1" t="s">
        <v>74</v>
      </c>
    </row>
    <row r="88" spans="1:7">
      <c r="A88" s="3" t="str">
        <f>[2]participants_92405902565_2026_0!A1</f>
        <v>Name (original name)</v>
      </c>
      <c r="B88" s="3" t="str">
        <f>[2]participants_92405902565_2026_0!B1</f>
        <v>Email</v>
      </c>
      <c r="C88" s="3" t="str">
        <f>[2]participants_92405902565_2026_0!C1</f>
        <v>Join time</v>
      </c>
      <c r="D88" s="14" t="str">
        <f>[2]participants_92405902565_2026_0!D1</f>
        <v>Leave time</v>
      </c>
      <c r="E88" s="3" t="str">
        <f>[2]participants_92405902565_2026_0!E1</f>
        <v>Guest</v>
      </c>
      <c r="F88" s="3" t="str">
        <f>[2]participants_92405902565_2026_0!F1</f>
        <v>Recording disclaimer response</v>
      </c>
      <c r="G88" s="3" t="str">
        <f>[2]participants_92405902565_2026_0!G1</f>
        <v>In waiting room</v>
      </c>
    </row>
    <row r="89" spans="1:7" ht="16.5">
      <c r="A89" s="30" t="str">
        <f>[2]participants_92405902565_2026_0!A2</f>
        <v>Maha Elshibiny</v>
      </c>
      <c r="B89" s="4" t="str">
        <f>[2]participants_92405902565_2026_0!B2</f>
        <v>maha.elshibini@innoveracorp.com</v>
      </c>
      <c r="C89" s="15">
        <f>[2]participants_92405902565_2026_0!C2</f>
        <v>46223.830983796295</v>
      </c>
      <c r="D89" s="15">
        <f>[2]participants_92405902565_2026_0!D2</f>
        <v>46223.847337962965</v>
      </c>
      <c r="E89" s="4" t="str">
        <f>[2]participants_92405902565_2026_0!E2</f>
        <v>No</v>
      </c>
      <c r="F89" s="4" t="str">
        <f>[2]participants_92405902565_2026_0!F2</f>
        <v>OK</v>
      </c>
      <c r="G89" s="4" t="str">
        <f>[2]participants_92405902565_2026_0!G2</f>
        <v>No</v>
      </c>
    </row>
    <row r="90" spans="1:7">
      <c r="A90" s="4" t="str">
        <f>[2]participants_92405902565_2026_0!A3</f>
        <v>Dana Ahmed Ammar</v>
      </c>
      <c r="B90" s="4">
        <f>[2]participants_92405902565_2026_0!B3</f>
        <v>0</v>
      </c>
      <c r="C90" s="15">
        <f>[2]participants_92405902565_2026_0!C3</f>
        <v>46223.833067129628</v>
      </c>
      <c r="D90" s="15">
        <f>[2]participants_92405902565_2026_0!D3</f>
        <v>46223.833437499998</v>
      </c>
      <c r="E90" s="4" t="str">
        <f>[2]participants_92405902565_2026_0!E3</f>
        <v>Yes</v>
      </c>
      <c r="F90" s="4" t="str">
        <f>[2]participants_92405902565_2026_0!F3</f>
        <v>No Response</v>
      </c>
      <c r="G90" s="4" t="str">
        <f>[2]participants_92405902565_2026_0!G3</f>
        <v>No</v>
      </c>
    </row>
    <row r="91" spans="1:7">
      <c r="A91" s="4" t="str">
        <f>[2]participants_92405902565_2026_0!A4</f>
        <v>mina karamy</v>
      </c>
      <c r="B91" s="4">
        <f>[2]participants_92405902565_2026_0!B4</f>
        <v>0</v>
      </c>
      <c r="C91" s="15">
        <f>[2]participants_92405902565_2026_0!C4</f>
        <v>46223.833784722221</v>
      </c>
      <c r="D91" s="15">
        <f>[2]participants_92405902565_2026_0!D4</f>
        <v>46223.968877314815</v>
      </c>
      <c r="E91" s="4" t="str">
        <f>[2]participants_92405902565_2026_0!E4</f>
        <v>Yes</v>
      </c>
      <c r="F91" s="4" t="str">
        <f>[2]participants_92405902565_2026_0!F4</f>
        <v>OK</v>
      </c>
      <c r="G91" s="4" t="str">
        <f>[2]participants_92405902565_2026_0!G4</f>
        <v>No</v>
      </c>
    </row>
    <row r="92" spans="1:7">
      <c r="A92" s="4" t="str">
        <f>[2]participants_92405902565_2026_0!A5</f>
        <v>somaia essam</v>
      </c>
      <c r="B92" s="4">
        <f>[2]participants_92405902565_2026_0!B5</f>
        <v>0</v>
      </c>
      <c r="C92" s="15">
        <f>[2]participants_92405902565_2026_0!C5</f>
        <v>46223.834803240738</v>
      </c>
      <c r="D92" s="15">
        <f>[2]participants_92405902565_2026_0!D5</f>
        <v>46223.867129629631</v>
      </c>
      <c r="E92" s="4" t="str">
        <f>[2]participants_92405902565_2026_0!E5</f>
        <v>Yes</v>
      </c>
      <c r="F92" s="4" t="str">
        <f>[2]participants_92405902565_2026_0!F5</f>
        <v>No Response</v>
      </c>
      <c r="G92" s="4" t="str">
        <f>[2]participants_92405902565_2026_0!G5</f>
        <v>No</v>
      </c>
    </row>
    <row r="93" spans="1:7">
      <c r="A93" s="4" t="str">
        <f>[2]participants_92405902565_2026_0!A6</f>
        <v>shahd reda</v>
      </c>
      <c r="B93" s="4">
        <f>[2]participants_92405902565_2026_0!B6</f>
        <v>0</v>
      </c>
      <c r="C93" s="15">
        <f>[2]participants_92405902565_2026_0!C6</f>
        <v>46223.83520833333</v>
      </c>
      <c r="D93" s="15">
        <f>[2]participants_92405902565_2026_0!D6</f>
        <v>46223.852951388886</v>
      </c>
      <c r="E93" s="4" t="str">
        <f>[2]participants_92405902565_2026_0!E6</f>
        <v>Yes</v>
      </c>
      <c r="F93" s="4" t="str">
        <f>[2]participants_92405902565_2026_0!F6</f>
        <v>No Response</v>
      </c>
      <c r="G93" s="4" t="str">
        <f>[2]participants_92405902565_2026_0!G6</f>
        <v>No</v>
      </c>
    </row>
    <row r="94" spans="1:7">
      <c r="A94" s="4" t="str">
        <f>[2]participants_92405902565_2026_0!A7</f>
        <v>moaz zaki</v>
      </c>
      <c r="B94" s="4">
        <f>[2]participants_92405902565_2026_0!B7</f>
        <v>0</v>
      </c>
      <c r="C94" s="15">
        <f>[2]participants_92405902565_2026_0!C7</f>
        <v>46223.836331018516</v>
      </c>
      <c r="D94" s="15">
        <f>[2]participants_92405902565_2026_0!D7</f>
        <v>46223.968784722223</v>
      </c>
      <c r="E94" s="4" t="str">
        <f>[2]participants_92405902565_2026_0!E7</f>
        <v>Yes</v>
      </c>
      <c r="F94" s="4" t="str">
        <f>[2]participants_92405902565_2026_0!F7</f>
        <v>No Response</v>
      </c>
      <c r="G94" s="4" t="str">
        <f>[2]participants_92405902565_2026_0!G7</f>
        <v>No</v>
      </c>
    </row>
    <row r="95" spans="1:7">
      <c r="A95" s="4" t="str">
        <f>[2]participants_92405902565_2026_0!A8</f>
        <v>Youssef Ali</v>
      </c>
      <c r="B95" s="4">
        <f>[2]participants_92405902565_2026_0!B8</f>
        <v>0</v>
      </c>
      <c r="C95" s="15">
        <f>[2]participants_92405902565_2026_0!C8</f>
        <v>46223.836365740739</v>
      </c>
      <c r="D95" s="15">
        <f>[2]participants_92405902565_2026_0!D8</f>
        <v>46223.885104166664</v>
      </c>
      <c r="E95" s="4" t="str">
        <f>[2]participants_92405902565_2026_0!E8</f>
        <v>Yes</v>
      </c>
      <c r="F95" s="4" t="str">
        <f>[2]participants_92405902565_2026_0!F8</f>
        <v>No Response</v>
      </c>
      <c r="G95" s="4" t="str">
        <f>[2]participants_92405902565_2026_0!G8</f>
        <v>No</v>
      </c>
    </row>
    <row r="96" spans="1:7">
      <c r="A96" s="4" t="str">
        <f>[2]participants_92405902565_2026_0!A9</f>
        <v>Basmala sorour</v>
      </c>
      <c r="B96" s="4">
        <f>[2]participants_92405902565_2026_0!B9</f>
        <v>0</v>
      </c>
      <c r="C96" s="15">
        <f>[2]participants_92405902565_2026_0!C9</f>
        <v>46223.839050925926</v>
      </c>
      <c r="D96" s="15">
        <f>[2]participants_92405902565_2026_0!D9</f>
        <v>46223.968842592592</v>
      </c>
      <c r="E96" s="4" t="str">
        <f>[2]participants_92405902565_2026_0!E9</f>
        <v>Yes</v>
      </c>
      <c r="F96" s="4" t="str">
        <f>[2]participants_92405902565_2026_0!F9</f>
        <v>No Response</v>
      </c>
      <c r="G96" s="4" t="str">
        <f>[2]participants_92405902565_2026_0!G9</f>
        <v>No</v>
      </c>
    </row>
    <row r="97" spans="1:7" ht="16.5">
      <c r="A97" s="30" t="str">
        <f>[2]participants_92405902565_2026_0!A10</f>
        <v>Mostafa Ibrahim</v>
      </c>
      <c r="B97" s="4">
        <f>[2]participants_92405902565_2026_0!B10</f>
        <v>0</v>
      </c>
      <c r="C97" s="15">
        <f>[2]participants_92405902565_2026_0!C10</f>
        <v>46223.839201388888</v>
      </c>
      <c r="D97" s="15">
        <f>[2]participants_92405902565_2026_0!D10</f>
        <v>46223.968877314815</v>
      </c>
      <c r="E97" s="4" t="str">
        <f>[2]participants_92405902565_2026_0!E10</f>
        <v>Yes</v>
      </c>
      <c r="F97" s="4" t="str">
        <f>[2]participants_92405902565_2026_0!F10</f>
        <v>No Response</v>
      </c>
      <c r="G97" s="4" t="str">
        <f>[2]participants_92405902565_2026_0!G10</f>
        <v>No</v>
      </c>
    </row>
    <row r="98" spans="1:7">
      <c r="A98" s="4" t="str">
        <f>[2]participants_92405902565_2026_0!A11</f>
        <v>Mohamed Wael Mansour Abdelmonem</v>
      </c>
      <c r="B98" s="4">
        <f>[2]participants_92405902565_2026_0!B11</f>
        <v>0</v>
      </c>
      <c r="C98" s="15">
        <f>[2]participants_92405902565_2026_0!C11</f>
        <v>46223.839456018519</v>
      </c>
      <c r="D98" s="15">
        <f>[2]participants_92405902565_2026_0!D11</f>
        <v>46223.943391203706</v>
      </c>
      <c r="E98" s="4" t="str">
        <f>[2]participants_92405902565_2026_0!E11</f>
        <v>Yes</v>
      </c>
      <c r="F98" s="4" t="str">
        <f>[2]participants_92405902565_2026_0!F11</f>
        <v>OK</v>
      </c>
      <c r="G98" s="4" t="str">
        <f>[2]participants_92405902565_2026_0!G11</f>
        <v>No</v>
      </c>
    </row>
    <row r="99" spans="1:7">
      <c r="A99" s="4" t="str">
        <f>[2]participants_92405902565_2026_0!A12</f>
        <v>Farida Hossam</v>
      </c>
      <c r="B99" s="4">
        <f>[2]participants_92405902565_2026_0!B12</f>
        <v>0</v>
      </c>
      <c r="C99" s="15">
        <f>[2]participants_92405902565_2026_0!C12</f>
        <v>46223.840509259258</v>
      </c>
      <c r="D99" s="15">
        <f>[2]participants_92405902565_2026_0!D12</f>
        <v>46223.968877314815</v>
      </c>
      <c r="E99" s="4" t="str">
        <f>[2]participants_92405902565_2026_0!E12</f>
        <v>Yes</v>
      </c>
      <c r="F99" s="4" t="str">
        <f>[2]participants_92405902565_2026_0!F12</f>
        <v>OK</v>
      </c>
      <c r="G99" s="4" t="str">
        <f>[2]participants_92405902565_2026_0!G12</f>
        <v>No</v>
      </c>
    </row>
    <row r="100" spans="1:7">
      <c r="A100" s="4" t="str">
        <f>[2]participants_92405902565_2026_0!A13</f>
        <v>Zeyad Mohamed</v>
      </c>
      <c r="B100" s="4">
        <f>[2]participants_92405902565_2026_0!B13</f>
        <v>0</v>
      </c>
      <c r="C100" s="15">
        <f>[2]participants_92405902565_2026_0!C13</f>
        <v>46223.840567129628</v>
      </c>
      <c r="D100" s="15">
        <f>[2]participants_92405902565_2026_0!D13</f>
        <v>46223.845717592594</v>
      </c>
      <c r="E100" s="4" t="str">
        <f>[2]participants_92405902565_2026_0!E13</f>
        <v>Yes</v>
      </c>
      <c r="F100" s="4" t="str">
        <f>[2]participants_92405902565_2026_0!F13</f>
        <v>No Response</v>
      </c>
      <c r="G100" s="4" t="str">
        <f>[2]participants_92405902565_2026_0!G13</f>
        <v>No</v>
      </c>
    </row>
    <row r="101" spans="1:7">
      <c r="A101" s="4" t="str">
        <f>[2]participants_92405902565_2026_0!A14</f>
        <v>Mona karam</v>
      </c>
      <c r="B101" s="4">
        <f>[2]participants_92405902565_2026_0!B14</f>
        <v>0</v>
      </c>
      <c r="C101" s="15">
        <f>[2]participants_92405902565_2026_0!C14</f>
        <v>46223.840613425928</v>
      </c>
      <c r="D101" s="15">
        <f>[2]participants_92405902565_2026_0!D14</f>
        <v>46223.931851851848</v>
      </c>
      <c r="E101" s="4" t="str">
        <f>[2]participants_92405902565_2026_0!E14</f>
        <v>Yes</v>
      </c>
      <c r="F101" s="4" t="str">
        <f>[2]participants_92405902565_2026_0!F14</f>
        <v>No Response</v>
      </c>
      <c r="G101" s="4" t="str">
        <f>[2]participants_92405902565_2026_0!G14</f>
        <v>No</v>
      </c>
    </row>
    <row r="102" spans="1:7" ht="16.5">
      <c r="A102" s="30" t="str">
        <f>[2]participants_92405902565_2026_0!A15</f>
        <v>mohamed hassan mosalam</v>
      </c>
      <c r="B102" s="4">
        <f>[2]participants_92405902565_2026_0!B15</f>
        <v>0</v>
      </c>
      <c r="C102" s="15">
        <f>[2]participants_92405902565_2026_0!C15</f>
        <v>46223.843449074076</v>
      </c>
      <c r="D102" s="15">
        <f>[2]participants_92405902565_2026_0!D15</f>
        <v>46223.968819444446</v>
      </c>
      <c r="E102" s="4" t="str">
        <f>[2]participants_92405902565_2026_0!E15</f>
        <v>Yes</v>
      </c>
      <c r="F102" s="4" t="str">
        <f>[2]participants_92405902565_2026_0!F15</f>
        <v>No Response</v>
      </c>
      <c r="G102" s="4" t="str">
        <f>[2]participants_92405902565_2026_0!G15</f>
        <v>No</v>
      </c>
    </row>
    <row r="103" spans="1:7" ht="16.5">
      <c r="A103" s="30" t="str">
        <f>[2]participants_92405902565_2026_0!A16</f>
        <v>Prof. Ehab Abousaif</v>
      </c>
      <c r="B103" s="4">
        <f>[2]participants_92405902565_2026_0!B16</f>
        <v>0</v>
      </c>
      <c r="C103" s="15">
        <f>[2]participants_92405902565_2026_0!C16</f>
        <v>46223.843854166669</v>
      </c>
      <c r="D103" s="15">
        <f>[2]participants_92405902565_2026_0!D16</f>
        <v>46223.968877314815</v>
      </c>
      <c r="E103" s="4" t="str">
        <f>[2]participants_92405902565_2026_0!E16</f>
        <v>Yes</v>
      </c>
      <c r="F103" s="4" t="str">
        <f>[2]participants_92405902565_2026_0!F16</f>
        <v>OK</v>
      </c>
      <c r="G103" s="4" t="str">
        <f>[2]participants_92405902565_2026_0!G16</f>
        <v>No</v>
      </c>
    </row>
    <row r="104" spans="1:7" ht="16.5">
      <c r="A104" s="30" t="str">
        <f>[2]participants_92405902565_2026_0!A17</f>
        <v>Ehab Abousaif</v>
      </c>
      <c r="B104" s="4">
        <f>[2]participants_92405902565_2026_0!B17</f>
        <v>0</v>
      </c>
      <c r="C104" s="15">
        <f>[2]participants_92405902565_2026_0!C17</f>
        <v>46223.845486111109</v>
      </c>
      <c r="D104" s="15">
        <f>[2]participants_92405902565_2026_0!D17</f>
        <v>46223.968877314815</v>
      </c>
      <c r="E104" s="4" t="str">
        <f>[2]participants_92405902565_2026_0!E17</f>
        <v>Yes</v>
      </c>
      <c r="F104" s="4" t="str">
        <f>[2]participants_92405902565_2026_0!F17</f>
        <v>OK</v>
      </c>
      <c r="G104" s="4" t="str">
        <f>[2]participants_92405902565_2026_0!G17</f>
        <v>No</v>
      </c>
    </row>
    <row r="105" spans="1:7">
      <c r="A105" s="4" t="str">
        <f>[2]participants_92405902565_2026_0!A18</f>
        <v>Marwan Ezzat Farag</v>
      </c>
      <c r="B105" s="4">
        <f>[2]participants_92405902565_2026_0!B18</f>
        <v>0</v>
      </c>
      <c r="C105" s="15">
        <f>[2]participants_92405902565_2026_0!C18</f>
        <v>46223.846041666664</v>
      </c>
      <c r="D105" s="15">
        <f>[2]participants_92405902565_2026_0!D18</f>
        <v>46223.968877314815</v>
      </c>
      <c r="E105" s="4" t="str">
        <f>[2]participants_92405902565_2026_0!E18</f>
        <v>Yes</v>
      </c>
      <c r="F105" s="4" t="str">
        <f>[2]participants_92405902565_2026_0!F18</f>
        <v>OK</v>
      </c>
      <c r="G105" s="4" t="str">
        <f>[2]participants_92405902565_2026_0!G18</f>
        <v>No</v>
      </c>
    </row>
    <row r="106" spans="1:7">
      <c r="A106" s="4" t="str">
        <f>[2]participants_92405902565_2026_0!A19</f>
        <v>muhammad radi</v>
      </c>
      <c r="B106" s="4">
        <f>[2]participants_92405902565_2026_0!B19</f>
        <v>0</v>
      </c>
      <c r="C106" s="15">
        <f>[2]participants_92405902565_2026_0!C19</f>
        <v>46223.846342592595</v>
      </c>
      <c r="D106" s="15">
        <f>[2]participants_92405902565_2026_0!D19</f>
        <v>46223.968877314815</v>
      </c>
      <c r="E106" s="4" t="str">
        <f>[2]participants_92405902565_2026_0!E19</f>
        <v>Yes</v>
      </c>
      <c r="F106" s="4" t="str">
        <f>[2]participants_92405902565_2026_0!F19</f>
        <v>OK</v>
      </c>
      <c r="G106" s="4" t="str">
        <f>[2]participants_92405902565_2026_0!G19</f>
        <v>No</v>
      </c>
    </row>
    <row r="107" spans="1:7">
      <c r="A107" s="4" t="str">
        <f>[2]participants_92405902565_2026_0!A20</f>
        <v>Khaled Niazy</v>
      </c>
      <c r="B107" s="4">
        <f>[2]participants_92405902565_2026_0!B20</f>
        <v>0</v>
      </c>
      <c r="C107" s="15">
        <f>[2]participants_92405902565_2026_0!C20</f>
        <v>46223.847245370373</v>
      </c>
      <c r="D107" s="15">
        <f>[2]participants_92405902565_2026_0!D20</f>
        <v>46223.856145833335</v>
      </c>
      <c r="E107" s="4" t="str">
        <f>[2]participants_92405902565_2026_0!E20</f>
        <v>Yes</v>
      </c>
      <c r="F107" s="4" t="str">
        <f>[2]participants_92405902565_2026_0!F20</f>
        <v>OK</v>
      </c>
      <c r="G107" s="4" t="str">
        <f>[2]participants_92405902565_2026_0!G20</f>
        <v>No</v>
      </c>
    </row>
    <row r="108" spans="1:7">
      <c r="A108" s="4" t="str">
        <f>[2]participants_92405902565_2026_0!A21</f>
        <v>Ahmed Magdy</v>
      </c>
      <c r="B108" s="4">
        <f>[2]participants_92405902565_2026_0!B21</f>
        <v>0</v>
      </c>
      <c r="C108" s="15">
        <f>[2]participants_92405902565_2026_0!C21</f>
        <v>46223.847488425927</v>
      </c>
      <c r="D108" s="15">
        <f>[2]participants_92405902565_2026_0!D21</f>
        <v>46223.880648148152</v>
      </c>
      <c r="E108" s="4" t="str">
        <f>[2]participants_92405902565_2026_0!E21</f>
        <v>Yes</v>
      </c>
      <c r="F108" s="4" t="str">
        <f>[2]participants_92405902565_2026_0!F21</f>
        <v>OK</v>
      </c>
      <c r="G108" s="4" t="str">
        <f>[2]participants_92405902565_2026_0!G21</f>
        <v>No</v>
      </c>
    </row>
    <row r="109" spans="1:7" ht="16.5">
      <c r="A109" s="30" t="str">
        <f>[2]participants_92405902565_2026_0!A22</f>
        <v>Mostafa Ibrahim Eldisoki</v>
      </c>
      <c r="B109" s="4">
        <f>[2]participants_92405902565_2026_0!B22</f>
        <v>0</v>
      </c>
      <c r="C109" s="15">
        <f>[2]participants_92405902565_2026_0!C22</f>
        <v>46223.847511574073</v>
      </c>
      <c r="D109" s="15">
        <f>[2]participants_92405902565_2026_0!D22</f>
        <v>46223.858113425929</v>
      </c>
      <c r="E109" s="4" t="str">
        <f>[2]participants_92405902565_2026_0!E22</f>
        <v>Yes</v>
      </c>
      <c r="F109" s="4" t="str">
        <f>[2]participants_92405902565_2026_0!F22</f>
        <v>OK</v>
      </c>
      <c r="G109" s="4" t="str">
        <f>[2]participants_92405902565_2026_0!G22</f>
        <v>No</v>
      </c>
    </row>
    <row r="110" spans="1:7">
      <c r="A110" s="4" t="str">
        <f>[2]participants_92405902565_2026_0!A23</f>
        <v>Kevin akram eskander</v>
      </c>
      <c r="B110" s="4">
        <f>[2]participants_92405902565_2026_0!B23</f>
        <v>0</v>
      </c>
      <c r="C110" s="15">
        <f>[2]participants_92405902565_2026_0!C23</f>
        <v>46223.847962962966</v>
      </c>
      <c r="D110" s="15">
        <f>[2]participants_92405902565_2026_0!D23</f>
        <v>46223.939444444448</v>
      </c>
      <c r="E110" s="4" t="str">
        <f>[2]participants_92405902565_2026_0!E23</f>
        <v>Yes</v>
      </c>
      <c r="F110" s="4" t="str">
        <f>[2]participants_92405902565_2026_0!F23</f>
        <v>No Response</v>
      </c>
      <c r="G110" s="4" t="str">
        <f>[2]participants_92405902565_2026_0!G23</f>
        <v>No</v>
      </c>
    </row>
    <row r="111" spans="1:7">
      <c r="A111" s="4" t="str">
        <f>[2]participants_92405902565_2026_0!A24</f>
        <v>MEDHAT YEHIA</v>
      </c>
      <c r="B111" s="4">
        <f>[2]participants_92405902565_2026_0!B24</f>
        <v>0</v>
      </c>
      <c r="C111" s="15">
        <f>[2]participants_92405902565_2026_0!C24</f>
        <v>46223.850300925929</v>
      </c>
      <c r="D111" s="15">
        <f>[2]participants_92405902565_2026_0!D24</f>
        <v>46223.968831018516</v>
      </c>
      <c r="E111" s="4" t="str">
        <f>[2]participants_92405902565_2026_0!E24</f>
        <v>Yes</v>
      </c>
      <c r="F111" s="4" t="str">
        <f>[2]participants_92405902565_2026_0!F24</f>
        <v>OK</v>
      </c>
      <c r="G111" s="4" t="str">
        <f>[2]participants_92405902565_2026_0!G24</f>
        <v>No</v>
      </c>
    </row>
    <row r="112" spans="1:7">
      <c r="A112" s="4" t="str">
        <f>[2]participants_92405902565_2026_0!A25</f>
        <v>Khaled Naser Abdelazeem Mansour</v>
      </c>
      <c r="B112" s="4">
        <f>[2]participants_92405902565_2026_0!B25</f>
        <v>0</v>
      </c>
      <c r="C112" s="15">
        <f>[2]participants_92405902565_2026_0!C25</f>
        <v>46223.850659722222</v>
      </c>
      <c r="D112" s="15">
        <f>[2]participants_92405902565_2026_0!D25</f>
        <v>46223.968877314815</v>
      </c>
      <c r="E112" s="4" t="str">
        <f>[2]participants_92405902565_2026_0!E25</f>
        <v>Yes</v>
      </c>
      <c r="F112" s="4" t="str">
        <f>[2]participants_92405902565_2026_0!F25</f>
        <v>OK</v>
      </c>
      <c r="G112" s="4" t="str">
        <f>[2]participants_92405902565_2026_0!G25</f>
        <v>No</v>
      </c>
    </row>
    <row r="113" spans="1:7" ht="16.5">
      <c r="A113" s="30" t="str">
        <f>[2]participants_92405902565_2026_0!A26</f>
        <v>Samsung SM-A245F</v>
      </c>
      <c r="B113" s="4">
        <f>[2]participants_92405902565_2026_0!B26</f>
        <v>0</v>
      </c>
      <c r="C113" s="15">
        <f>[2]participants_92405902565_2026_0!C26</f>
        <v>46223.852199074077</v>
      </c>
      <c r="D113" s="15">
        <f>[2]participants_92405902565_2026_0!D26</f>
        <v>46223.901539351849</v>
      </c>
      <c r="E113" s="4" t="str">
        <f>[2]participants_92405902565_2026_0!E26</f>
        <v>Yes</v>
      </c>
      <c r="F113" s="4" t="str">
        <f>[2]participants_92405902565_2026_0!F26</f>
        <v>OK</v>
      </c>
      <c r="G113" s="4" t="str">
        <f>[2]participants_92405902565_2026_0!G26</f>
        <v>No</v>
      </c>
    </row>
    <row r="114" spans="1:7">
      <c r="A114" s="4" t="str">
        <f>[2]participants_92405902565_2026_0!A27</f>
        <v>Karen nagy (Karen)</v>
      </c>
      <c r="B114" s="4">
        <f>[2]participants_92405902565_2026_0!B27</f>
        <v>0</v>
      </c>
      <c r="C114" s="15">
        <f>[2]participants_92405902565_2026_0!C27</f>
        <v>46223.855925925927</v>
      </c>
      <c r="D114" s="15">
        <f>[2]participants_92405902565_2026_0!D27</f>
        <v>46223.968877314815</v>
      </c>
      <c r="E114" s="4" t="str">
        <f>[2]participants_92405902565_2026_0!E27</f>
        <v>Yes</v>
      </c>
      <c r="F114" s="4" t="str">
        <f>[2]participants_92405902565_2026_0!F27</f>
        <v>OK</v>
      </c>
      <c r="G114" s="4" t="str">
        <f>[2]participants_92405902565_2026_0!G27</f>
        <v>No</v>
      </c>
    </row>
    <row r="116" spans="1:7">
      <c r="A116" s="1" t="s">
        <v>75</v>
      </c>
    </row>
    <row r="117" spans="1:7">
      <c r="A117" s="3" t="str">
        <f>[3]participants_96205648590_2026_0!A1</f>
        <v>Name (original name)</v>
      </c>
      <c r="B117" s="3" t="str">
        <f>[3]participants_96205648590_2026_0!B1</f>
        <v>Email</v>
      </c>
      <c r="C117" s="3" t="str">
        <f>[3]participants_96205648590_2026_0!C1</f>
        <v>Join time</v>
      </c>
      <c r="D117" s="14" t="str">
        <f>[3]participants_96205648590_2026_0!D1</f>
        <v>Leave time</v>
      </c>
      <c r="E117" s="3" t="str">
        <f>[3]participants_96205648590_2026_0!E1</f>
        <v>Guest</v>
      </c>
      <c r="F117" s="3" t="str">
        <f>[3]participants_96205648590_2026_0!F1</f>
        <v>Recording disclaimer response</v>
      </c>
      <c r="G117" s="3" t="str">
        <f>[3]participants_96205648590_2026_0!G1</f>
        <v>In waiting room</v>
      </c>
    </row>
    <row r="118" spans="1:7">
      <c r="A118" s="4" t="str">
        <f>[3]participants_96205648590_2026_0!A2</f>
        <v>Dana Ahmed Ammar</v>
      </c>
      <c r="B118" s="4">
        <f>[3]participants_96205648590_2026_0!B2</f>
        <v>0</v>
      </c>
      <c r="C118" s="15">
        <f>[3]participants_96205648590_2026_0!C2</f>
        <v>46224.833935185183</v>
      </c>
      <c r="D118" s="15">
        <f>[3]participants_96205648590_2026_0!D2</f>
        <v>46224.956921296296</v>
      </c>
      <c r="E118" s="4" t="str">
        <f>[3]participants_96205648590_2026_0!E2</f>
        <v>Yes</v>
      </c>
      <c r="F118" s="4" t="str">
        <f>[3]participants_96205648590_2026_0!F2</f>
        <v>OK</v>
      </c>
      <c r="G118" s="4" t="str">
        <f>[3]participants_96205648590_2026_0!G2</f>
        <v>No</v>
      </c>
    </row>
    <row r="119" spans="1:7">
      <c r="A119" s="4" t="str">
        <f>[3]participants_96205648590_2026_0!A4</f>
        <v>Kevin akram eskander</v>
      </c>
      <c r="B119" s="4">
        <f>[3]participants_96205648590_2026_0!B4</f>
        <v>0</v>
      </c>
      <c r="C119" s="15">
        <f>[3]participants_96205648590_2026_0!C4</f>
        <v>46224.840277777781</v>
      </c>
      <c r="D119" s="15">
        <f>[3]participants_96205648590_2026_0!D4</f>
        <v>46224.92696759259</v>
      </c>
      <c r="E119" s="4" t="str">
        <f>[3]participants_96205648590_2026_0!E4</f>
        <v>Yes</v>
      </c>
      <c r="F119" s="4" t="str">
        <f>[3]participants_96205648590_2026_0!F4</f>
        <v>No Response</v>
      </c>
      <c r="G119" s="4" t="str">
        <f>[3]participants_96205648590_2026_0!G4</f>
        <v>No</v>
      </c>
    </row>
    <row r="120" spans="1:7">
      <c r="A120" s="4" t="str">
        <f>[3]participants_96205648590_2026_0!A5</f>
        <v>Farida Hossam</v>
      </c>
      <c r="B120" s="4">
        <f>[3]participants_96205648590_2026_0!B5</f>
        <v>0</v>
      </c>
      <c r="C120" s="15">
        <f>[3]participants_96205648590_2026_0!C5</f>
        <v>46224.84034722222</v>
      </c>
      <c r="D120" s="15">
        <f>[3]participants_96205648590_2026_0!D5</f>
        <v>46224.956909722219</v>
      </c>
      <c r="E120" s="4" t="str">
        <f>[3]participants_96205648590_2026_0!E5</f>
        <v>Yes</v>
      </c>
      <c r="F120" s="4" t="str">
        <f>[3]participants_96205648590_2026_0!F5</f>
        <v>OK</v>
      </c>
      <c r="G120" s="4" t="str">
        <f>[3]participants_96205648590_2026_0!G5</f>
        <v>No</v>
      </c>
    </row>
    <row r="121" spans="1:7">
      <c r="A121" s="4" t="str">
        <f>[3]participants_96205648590_2026_0!A6</f>
        <v>Medhat Yehia Abdul Aziz</v>
      </c>
      <c r="B121" s="4">
        <f>[3]participants_96205648590_2026_0!B6</f>
        <v>0</v>
      </c>
      <c r="C121" s="15">
        <f>[3]participants_96205648590_2026_0!C6</f>
        <v>46224.841041666667</v>
      </c>
      <c r="D121" s="15">
        <f>[3]participants_96205648590_2026_0!D6</f>
        <v>46224.956909722219</v>
      </c>
      <c r="E121" s="4" t="str">
        <f>[3]participants_96205648590_2026_0!E6</f>
        <v>Yes</v>
      </c>
      <c r="F121" s="4" t="str">
        <f>[3]participants_96205648590_2026_0!F6</f>
        <v>OK</v>
      </c>
      <c r="G121" s="4" t="str">
        <f>[3]participants_96205648590_2026_0!G6</f>
        <v>No</v>
      </c>
    </row>
    <row r="122" spans="1:7">
      <c r="A122" s="4" t="str">
        <f>[3]participants_96205648590_2026_0!A7</f>
        <v>Youssef Ali</v>
      </c>
      <c r="B122" s="4">
        <f>[3]participants_96205648590_2026_0!B7</f>
        <v>0</v>
      </c>
      <c r="C122" s="15">
        <f>[3]participants_96205648590_2026_0!C7</f>
        <v>46224.843090277776</v>
      </c>
      <c r="D122" s="15">
        <f>[3]participants_96205648590_2026_0!D7</f>
        <v>46224.956886574073</v>
      </c>
      <c r="E122" s="4" t="str">
        <f>[3]participants_96205648590_2026_0!E7</f>
        <v>Yes</v>
      </c>
      <c r="F122" s="4" t="str">
        <f>[3]participants_96205648590_2026_0!F7</f>
        <v>No Response</v>
      </c>
      <c r="G122" s="4" t="str">
        <f>[3]participants_96205648590_2026_0!G7</f>
        <v>No</v>
      </c>
    </row>
    <row r="123" spans="1:7">
      <c r="A123" s="4" t="str">
        <f>[3]participants_96205648590_2026_0!A8</f>
        <v>Basmala sorour</v>
      </c>
      <c r="B123" s="4">
        <f>[3]participants_96205648590_2026_0!B8</f>
        <v>0</v>
      </c>
      <c r="C123" s="15">
        <f>[3]participants_96205648590_2026_0!C8</f>
        <v>46224.844664351855</v>
      </c>
      <c r="D123" s="15">
        <f>[3]participants_96205648590_2026_0!D8</f>
        <v>46224.95684027778</v>
      </c>
      <c r="E123" s="4" t="str">
        <f>[3]participants_96205648590_2026_0!E8</f>
        <v>Yes</v>
      </c>
      <c r="F123" s="4" t="str">
        <f>[3]participants_96205648590_2026_0!F8</f>
        <v>No Response</v>
      </c>
      <c r="G123" s="4" t="str">
        <f>[3]participants_96205648590_2026_0!G8</f>
        <v>No</v>
      </c>
    </row>
    <row r="124" spans="1:7">
      <c r="A124" s="4" t="str">
        <f>[3]participants_96205648590_2026_0!A9</f>
        <v>anwar</v>
      </c>
      <c r="B124" s="4">
        <f>[3]participants_96205648590_2026_0!B9</f>
        <v>0</v>
      </c>
      <c r="C124" s="15">
        <f>[3]participants_96205648590_2026_0!C9</f>
        <v>46224.84480324074</v>
      </c>
      <c r="D124" s="15">
        <f>[3]participants_96205648590_2026_0!D9</f>
        <v>46224.84511574074</v>
      </c>
      <c r="E124" s="4" t="str">
        <f>[3]participants_96205648590_2026_0!E9</f>
        <v>Yes</v>
      </c>
      <c r="F124" s="4" t="str">
        <f>[3]participants_96205648590_2026_0!F9</f>
        <v>No Response</v>
      </c>
      <c r="G124" s="4" t="str">
        <f>[3]participants_96205648590_2026_0!G9</f>
        <v>No</v>
      </c>
    </row>
    <row r="125" spans="1:7">
      <c r="A125" s="4" t="str">
        <f>[3]participants_96205648590_2026_0!A11</f>
        <v>moaz zaki</v>
      </c>
      <c r="B125" s="4">
        <f>[3]participants_96205648590_2026_0!B11</f>
        <v>0</v>
      </c>
      <c r="C125" s="15">
        <f>[3]participants_96205648590_2026_0!C11</f>
        <v>46224.846458333333</v>
      </c>
      <c r="D125" s="15">
        <f>[3]participants_96205648590_2026_0!D11</f>
        <v>46224.885416666664</v>
      </c>
      <c r="E125" s="4" t="str">
        <f>[3]participants_96205648590_2026_0!E11</f>
        <v>Yes</v>
      </c>
      <c r="F125" s="4" t="str">
        <f>[3]participants_96205648590_2026_0!F11</f>
        <v>No Response</v>
      </c>
      <c r="G125" s="4" t="str">
        <f>[3]participants_96205648590_2026_0!G11</f>
        <v>No</v>
      </c>
    </row>
    <row r="126" spans="1:7">
      <c r="A126" s="4" t="str">
        <f>[3]participants_96205648590_2026_0!A12</f>
        <v>mina karamy</v>
      </c>
      <c r="B126" s="4">
        <f>[3]participants_96205648590_2026_0!B12</f>
        <v>0</v>
      </c>
      <c r="C126" s="15">
        <f>[3]participants_96205648590_2026_0!C12</f>
        <v>46224.846643518518</v>
      </c>
      <c r="D126" s="15">
        <f>[3]participants_96205648590_2026_0!D12</f>
        <v>46224.884745370371</v>
      </c>
      <c r="E126" s="4" t="str">
        <f>[3]participants_96205648590_2026_0!E12</f>
        <v>Yes</v>
      </c>
      <c r="F126" s="4" t="str">
        <f>[3]participants_96205648590_2026_0!F12</f>
        <v>No Response</v>
      </c>
      <c r="G126" s="4" t="str">
        <f>[3]participants_96205648590_2026_0!G12</f>
        <v>No</v>
      </c>
    </row>
    <row r="127" spans="1:7" ht="16.5">
      <c r="A127" s="30" t="str">
        <f>[3]participants_96205648590_2026_0!A13</f>
        <v>Mostafa Ibrahim</v>
      </c>
      <c r="B127" s="4">
        <f>[3]participants_96205648590_2026_0!B13</f>
        <v>0</v>
      </c>
      <c r="C127" s="15">
        <f>[3]participants_96205648590_2026_0!C13</f>
        <v>46224.847013888888</v>
      </c>
      <c r="D127" s="15">
        <f>[3]participants_96205648590_2026_0!D13</f>
        <v>46224.853043981479</v>
      </c>
      <c r="E127" s="4" t="str">
        <f>[3]participants_96205648590_2026_0!E13</f>
        <v>Yes</v>
      </c>
      <c r="F127" s="4" t="str">
        <f>[3]participants_96205648590_2026_0!F13</f>
        <v>OK</v>
      </c>
      <c r="G127" s="4" t="str">
        <f>[3]participants_96205648590_2026_0!G13</f>
        <v>No</v>
      </c>
    </row>
    <row r="128" spans="1:7">
      <c r="A128" s="4" t="str">
        <f>[3]participants_96205648590_2026_0!A14</f>
        <v>muhammad radi</v>
      </c>
      <c r="B128" s="4">
        <f>[3]participants_96205648590_2026_0!B14</f>
        <v>0</v>
      </c>
      <c r="C128" s="15">
        <f>[3]participants_96205648590_2026_0!C14</f>
        <v>46224.847222222219</v>
      </c>
      <c r="D128" s="15">
        <f>[3]participants_96205648590_2026_0!D14</f>
        <v>46224.881516203706</v>
      </c>
      <c r="E128" s="4" t="str">
        <f>[3]participants_96205648590_2026_0!E14</f>
        <v>Yes</v>
      </c>
      <c r="F128" s="4" t="str">
        <f>[3]participants_96205648590_2026_0!F14</f>
        <v>OK</v>
      </c>
      <c r="G128" s="4" t="str">
        <f>[3]participants_96205648590_2026_0!G14</f>
        <v>No</v>
      </c>
    </row>
    <row r="129" spans="1:7" ht="16.5">
      <c r="A129" s="30" t="str">
        <f>[3]participants_96205648590_2026_0!A15</f>
        <v>Ehab Abousaif</v>
      </c>
      <c r="B129" s="4">
        <f>[3]participants_96205648590_2026_0!B15</f>
        <v>0</v>
      </c>
      <c r="C129" s="15">
        <f>[3]participants_96205648590_2026_0!C15</f>
        <v>46224.847280092596</v>
      </c>
      <c r="D129" s="15">
        <f>[3]participants_96205648590_2026_0!D15</f>
        <v>46224.956909722219</v>
      </c>
      <c r="E129" s="4" t="str">
        <f>[3]participants_96205648590_2026_0!E15</f>
        <v>Yes</v>
      </c>
      <c r="F129" s="4" t="str">
        <f>[3]participants_96205648590_2026_0!F15</f>
        <v>OK</v>
      </c>
      <c r="G129" s="4" t="str">
        <f>[3]participants_96205648590_2026_0!G15</f>
        <v>No</v>
      </c>
    </row>
    <row r="130" spans="1:7">
      <c r="A130" s="4" t="str">
        <f>[3]participants_96205648590_2026_0!A16</f>
        <v>shahd reda</v>
      </c>
      <c r="B130" s="4">
        <f>[3]participants_96205648590_2026_0!B16</f>
        <v>0</v>
      </c>
      <c r="C130" s="15">
        <f>[3]participants_96205648590_2026_0!C16</f>
        <v>46224.848263888889</v>
      </c>
      <c r="D130" s="15">
        <f>[3]participants_96205648590_2026_0!D16</f>
        <v>46224.849317129629</v>
      </c>
      <c r="E130" s="4" t="str">
        <f>[3]participants_96205648590_2026_0!E16</f>
        <v>Yes</v>
      </c>
      <c r="F130" s="4" t="str">
        <f>[3]participants_96205648590_2026_0!F16</f>
        <v>OK</v>
      </c>
      <c r="G130" s="4" t="str">
        <f>[3]participants_96205648590_2026_0!G16</f>
        <v>No</v>
      </c>
    </row>
    <row r="131" spans="1:7">
      <c r="A131" s="4" t="str">
        <f>[3]participants_96205648590_2026_0!A17</f>
        <v>Anwer Yasser</v>
      </c>
      <c r="B131" s="4">
        <f>[3]participants_96205648590_2026_0!B17</f>
        <v>0</v>
      </c>
      <c r="C131" s="15">
        <f>[3]participants_96205648590_2026_0!C17</f>
        <v>46224.84957175926</v>
      </c>
      <c r="D131" s="15">
        <f>[3]participants_96205648590_2026_0!D17</f>
        <v>46224.956909722219</v>
      </c>
      <c r="E131" s="4" t="str">
        <f>[3]participants_96205648590_2026_0!E17</f>
        <v>Yes</v>
      </c>
      <c r="F131" s="4" t="str">
        <f>[3]participants_96205648590_2026_0!F17</f>
        <v>OK</v>
      </c>
      <c r="G131" s="4" t="str">
        <f>[3]participants_96205648590_2026_0!G17</f>
        <v>No</v>
      </c>
    </row>
    <row r="132" spans="1:7">
      <c r="A132" s="4" t="str">
        <f>[3]participants_96205648590_2026_0!A18</f>
        <v>Khaled Naser Abdelazeem Mansour</v>
      </c>
      <c r="B132" s="4">
        <f>[3]participants_96205648590_2026_0!B18</f>
        <v>0</v>
      </c>
      <c r="C132" s="15">
        <f>[3]participants_96205648590_2026_0!C18</f>
        <v>46224.850590277776</v>
      </c>
      <c r="D132" s="15">
        <f>[3]participants_96205648590_2026_0!D18</f>
        <v>46224.884687500002</v>
      </c>
      <c r="E132" s="4" t="str">
        <f>[3]participants_96205648590_2026_0!E18</f>
        <v>Yes</v>
      </c>
      <c r="F132" s="4" t="str">
        <f>[3]participants_96205648590_2026_0!F18</f>
        <v>OK</v>
      </c>
      <c r="G132" s="4" t="str">
        <f>[3]participants_96205648590_2026_0!G18</f>
        <v>No</v>
      </c>
    </row>
    <row r="133" spans="1:7">
      <c r="A133" s="4" t="str">
        <f>[3]participants_96205648590_2026_0!A19</f>
        <v>Zeyad Mohamed</v>
      </c>
      <c r="B133" s="4">
        <f>[3]participants_96205648590_2026_0!B19</f>
        <v>0</v>
      </c>
      <c r="C133" s="15">
        <f>[3]participants_96205648590_2026_0!C19</f>
        <v>46224.85324074074</v>
      </c>
      <c r="D133" s="15">
        <f>[3]participants_96205648590_2026_0!D19</f>
        <v>46224.923726851855</v>
      </c>
      <c r="E133" s="4" t="str">
        <f>[3]participants_96205648590_2026_0!E19</f>
        <v>Yes</v>
      </c>
      <c r="F133" s="4" t="str">
        <f>[3]participants_96205648590_2026_0!F19</f>
        <v>OK</v>
      </c>
      <c r="G133" s="4" t="str">
        <f>[3]participants_96205648590_2026_0!G19</f>
        <v>No</v>
      </c>
    </row>
    <row r="134" spans="1:7">
      <c r="A134" s="4" t="str">
        <f>[3]participants_96205648590_2026_0!A20</f>
        <v>Marwan Ezzat Farag</v>
      </c>
      <c r="B134" s="4">
        <f>[3]participants_96205648590_2026_0!B20</f>
        <v>0</v>
      </c>
      <c r="C134" s="15">
        <f>[3]participants_96205648590_2026_0!C20</f>
        <v>46224.853275462963</v>
      </c>
      <c r="D134" s="15">
        <f>[3]participants_96205648590_2026_0!D20</f>
        <v>46224.855891203704</v>
      </c>
      <c r="E134" s="4" t="str">
        <f>[3]participants_96205648590_2026_0!E20</f>
        <v>Yes</v>
      </c>
      <c r="F134" s="4" t="str">
        <f>[3]participants_96205648590_2026_0!F20</f>
        <v>No Response</v>
      </c>
      <c r="G134" s="4" t="str">
        <f>[3]participants_96205648590_2026_0!G20</f>
        <v>No</v>
      </c>
    </row>
    <row r="135" spans="1:7">
      <c r="A135" s="4" t="str">
        <f>[3]participants_96205648590_2026_0!A21</f>
        <v>Khaled Niazy</v>
      </c>
      <c r="B135" s="4">
        <f>[3]participants_96205648590_2026_0!B21</f>
        <v>0</v>
      </c>
      <c r="C135" s="15">
        <f>[3]participants_96205648590_2026_0!C21</f>
        <v>46224.856516203705</v>
      </c>
      <c r="D135" s="15">
        <f>[3]participants_96205648590_2026_0!D21</f>
        <v>46224.92359953704</v>
      </c>
      <c r="E135" s="4" t="str">
        <f>[3]participants_96205648590_2026_0!E21</f>
        <v>Yes</v>
      </c>
      <c r="F135" s="4" t="str">
        <f>[3]participants_96205648590_2026_0!F21</f>
        <v>No Response</v>
      </c>
      <c r="G135" s="4" t="str">
        <f>[3]participants_96205648590_2026_0!G21</f>
        <v>No</v>
      </c>
    </row>
    <row r="136" spans="1:7">
      <c r="A136" s="4" t="str">
        <f>[3]participants_96205648590_2026_0!A22</f>
        <v>Mona karam</v>
      </c>
      <c r="B136" s="4">
        <f>[3]participants_96205648590_2026_0!B22</f>
        <v>0</v>
      </c>
      <c r="C136" s="15">
        <f>[3]participants_96205648590_2026_0!C22</f>
        <v>46224.857164351852</v>
      </c>
      <c r="D136" s="15">
        <f>[3]participants_96205648590_2026_0!D22</f>
        <v>46224.917395833334</v>
      </c>
      <c r="E136" s="4" t="str">
        <f>[3]participants_96205648590_2026_0!E22</f>
        <v>Yes</v>
      </c>
      <c r="F136" s="4" t="str">
        <f>[3]participants_96205648590_2026_0!F22</f>
        <v>No Response</v>
      </c>
      <c r="G136" s="4" t="str">
        <f>[3]participants_96205648590_2026_0!G22</f>
        <v>No</v>
      </c>
    </row>
    <row r="137" spans="1:7">
      <c r="A137" s="4" t="str">
        <f>[3]participants_96205648590_2026_0!A23</f>
        <v>Ahmed Magdy</v>
      </c>
      <c r="B137" s="4">
        <f>[3]participants_96205648590_2026_0!B23</f>
        <v>0</v>
      </c>
      <c r="C137" s="15">
        <f>[3]participants_96205648590_2026_0!C23</f>
        <v>46224.857210648152</v>
      </c>
      <c r="D137" s="15">
        <f>[3]participants_96205648590_2026_0!D23</f>
        <v>46224.920810185184</v>
      </c>
      <c r="E137" s="4" t="str">
        <f>[3]participants_96205648590_2026_0!E23</f>
        <v>Yes</v>
      </c>
      <c r="F137" s="4" t="str">
        <f>[3]participants_96205648590_2026_0!F23</f>
        <v>OK</v>
      </c>
      <c r="G137" s="4" t="str">
        <f>[3]participants_96205648590_2026_0!G23</f>
        <v>No</v>
      </c>
    </row>
    <row r="138" spans="1:7">
      <c r="A138" s="4" t="str">
        <f>[3]participants_96205648590_2026_0!A24</f>
        <v>Mohamed Wael Mansour Abdelmonem</v>
      </c>
      <c r="B138" s="4">
        <f>[3]participants_96205648590_2026_0!B24</f>
        <v>0</v>
      </c>
      <c r="C138" s="15">
        <f>[3]participants_96205648590_2026_0!C24</f>
        <v>46224.857777777775</v>
      </c>
      <c r="D138" s="15">
        <f>[3]participants_96205648590_2026_0!D24</f>
        <v>46224.857986111114</v>
      </c>
      <c r="E138" s="4" t="str">
        <f>[3]participants_96205648590_2026_0!E24</f>
        <v>Yes</v>
      </c>
      <c r="F138" s="4" t="str">
        <f>[3]participants_96205648590_2026_0!F24</f>
        <v>OK</v>
      </c>
      <c r="G138" s="4" t="str">
        <f>[3]participants_96205648590_2026_0!G24</f>
        <v>No</v>
      </c>
    </row>
    <row r="139" spans="1:7">
      <c r="A139" s="4" t="str">
        <f>[3]participants_96205648590_2026_0!A25</f>
        <v>Samsung SM-A245F</v>
      </c>
      <c r="B139" s="4">
        <f>[3]participants_96205648590_2026_0!B25</f>
        <v>0</v>
      </c>
      <c r="C139" s="15">
        <f>[3]participants_96205648590_2026_0!C25</f>
        <v>46224.858043981483</v>
      </c>
      <c r="D139" s="15">
        <f>[3]participants_96205648590_2026_0!D25</f>
        <v>46224.931875000002</v>
      </c>
      <c r="E139" s="4" t="str">
        <f>[3]participants_96205648590_2026_0!E25</f>
        <v>Yes</v>
      </c>
      <c r="F139" s="4" t="str">
        <f>[3]participants_96205648590_2026_0!F25</f>
        <v>No Response</v>
      </c>
      <c r="G139" s="4" t="str">
        <f>[3]participants_96205648590_2026_0!G25</f>
        <v>No</v>
      </c>
    </row>
    <row r="140" spans="1:7">
      <c r="A140" s="4" t="str">
        <f>[3]participants_96205648590_2026_0!A26</f>
        <v>Karen nagy (Karen)</v>
      </c>
      <c r="B140" s="4">
        <f>[3]participants_96205648590_2026_0!B26</f>
        <v>0</v>
      </c>
      <c r="C140" s="15">
        <f>[3]participants_96205648590_2026_0!C26</f>
        <v>46224.858148148145</v>
      </c>
      <c r="D140" s="15">
        <f>[3]participants_96205648590_2026_0!D26</f>
        <v>46224.887569444443</v>
      </c>
      <c r="E140" s="4" t="str">
        <f>[3]participants_96205648590_2026_0!E26</f>
        <v>Yes</v>
      </c>
      <c r="F140" s="4" t="str">
        <f>[3]participants_96205648590_2026_0!F26</f>
        <v>OK</v>
      </c>
      <c r="G140" s="4" t="str">
        <f>[3]participants_96205648590_2026_0!G26</f>
        <v>No</v>
      </c>
    </row>
    <row r="141" spans="1:7">
      <c r="A141" s="4" t="str">
        <f>[3]participants_96205648590_2026_0!A28</f>
        <v>abdulrahman Muhammed Eid</v>
      </c>
      <c r="B141" s="4">
        <f>[3]participants_96205648590_2026_0!B28</f>
        <v>0</v>
      </c>
      <c r="C141" s="15">
        <f>[3]participants_96205648590_2026_0!C28</f>
        <v>46224.859965277778</v>
      </c>
      <c r="D141" s="15">
        <f>[3]participants_96205648590_2026_0!D28</f>
        <v>46224.956909722219</v>
      </c>
      <c r="E141" s="4" t="str">
        <f>[3]participants_96205648590_2026_0!E28</f>
        <v>Yes</v>
      </c>
      <c r="F141" s="4" t="str">
        <f>[3]participants_96205648590_2026_0!F28</f>
        <v>OK</v>
      </c>
      <c r="G141" s="4" t="str">
        <f>[3]participants_96205648590_2026_0!G28</f>
        <v>No</v>
      </c>
    </row>
    <row r="143" spans="1:7">
      <c r="A143" s="1" t="s">
        <v>76</v>
      </c>
    </row>
    <row r="144" spans="1:7">
      <c r="A144" s="3" t="s">
        <v>1</v>
      </c>
      <c r="B144" s="3" t="s">
        <v>2</v>
      </c>
      <c r="C144" s="3" t="s">
        <v>3</v>
      </c>
      <c r="D144" s="14" t="s">
        <v>4</v>
      </c>
      <c r="E144" s="3" t="s">
        <v>5</v>
      </c>
      <c r="F144" s="3" t="s">
        <v>6</v>
      </c>
      <c r="G144" s="3" t="s">
        <v>7</v>
      </c>
    </row>
    <row r="145" spans="1:7">
      <c r="A145" s="4" t="s">
        <v>67</v>
      </c>
      <c r="B145" s="4"/>
      <c r="C145" s="5">
        <v>46229.829386574071</v>
      </c>
      <c r="D145" s="15">
        <v>46229.959988425922</v>
      </c>
      <c r="E145" s="4" t="s">
        <v>10</v>
      </c>
      <c r="F145" s="4" t="s">
        <v>17</v>
      </c>
      <c r="G145" s="4" t="s">
        <v>12</v>
      </c>
    </row>
    <row r="146" spans="1:7">
      <c r="A146" s="4" t="s">
        <v>19</v>
      </c>
      <c r="B146" s="4"/>
      <c r="C146" s="5">
        <v>46229.834490740737</v>
      </c>
      <c r="D146" s="15">
        <v>46229.834699074076</v>
      </c>
      <c r="E146" s="4" t="s">
        <v>10</v>
      </c>
      <c r="F146" s="4" t="s">
        <v>11</v>
      </c>
      <c r="G146" s="4" t="s">
        <v>12</v>
      </c>
    </row>
    <row r="147" spans="1:7">
      <c r="A147" s="4" t="s">
        <v>9</v>
      </c>
      <c r="B147" s="4"/>
      <c r="C147" s="5">
        <v>46229.838483796295</v>
      </c>
      <c r="D147" s="15">
        <v>46229.959976851853</v>
      </c>
      <c r="E147" s="4" t="s">
        <v>10</v>
      </c>
      <c r="F147" s="4" t="s">
        <v>17</v>
      </c>
      <c r="G147" s="4" t="s">
        <v>12</v>
      </c>
    </row>
    <row r="148" spans="1:7" ht="16.5">
      <c r="A148" s="30" t="s">
        <v>58</v>
      </c>
      <c r="B148" s="4"/>
      <c r="C148" s="5">
        <v>46229.840543981481</v>
      </c>
      <c r="D148" s="15">
        <v>46229.842488425929</v>
      </c>
      <c r="E148" s="4" t="s">
        <v>10</v>
      </c>
      <c r="F148" s="4" t="s">
        <v>11</v>
      </c>
      <c r="G148" s="4" t="s">
        <v>12</v>
      </c>
    </row>
    <row r="149" spans="1:7">
      <c r="A149" s="4" t="s">
        <v>27</v>
      </c>
      <c r="B149" s="4"/>
      <c r="C149" s="5">
        <v>46229.841006944444</v>
      </c>
      <c r="D149" s="15">
        <v>46229.959976851853</v>
      </c>
      <c r="E149" s="4" t="s">
        <v>10</v>
      </c>
      <c r="F149" s="4" t="s">
        <v>11</v>
      </c>
      <c r="G149" s="4" t="s">
        <v>12</v>
      </c>
    </row>
    <row r="150" spans="1:7">
      <c r="A150" s="4" t="s">
        <v>14</v>
      </c>
      <c r="B150" s="4"/>
      <c r="C150" s="5">
        <v>46229.841608796298</v>
      </c>
      <c r="D150" s="15">
        <v>46229.959907407407</v>
      </c>
      <c r="E150" s="4" t="s">
        <v>10</v>
      </c>
      <c r="F150" s="4" t="s">
        <v>11</v>
      </c>
      <c r="G150" s="4" t="s">
        <v>12</v>
      </c>
    </row>
    <row r="151" spans="1:7">
      <c r="A151" s="4" t="s">
        <v>35</v>
      </c>
      <c r="B151" s="4"/>
      <c r="C151" s="5">
        <v>46229.841817129629</v>
      </c>
      <c r="D151" s="15">
        <v>46229.855763888889</v>
      </c>
      <c r="E151" s="4" t="s">
        <v>10</v>
      </c>
      <c r="F151" s="4" t="s">
        <v>11</v>
      </c>
      <c r="G151" s="4" t="s">
        <v>12</v>
      </c>
    </row>
    <row r="152" spans="1:7">
      <c r="A152" s="4" t="s">
        <v>42</v>
      </c>
      <c r="B152" s="4"/>
      <c r="C152" s="5">
        <v>46229.842106481483</v>
      </c>
      <c r="D152" s="15">
        <v>46229.854363425926</v>
      </c>
      <c r="E152" s="4" t="s">
        <v>10</v>
      </c>
      <c r="F152" s="4" t="s">
        <v>11</v>
      </c>
      <c r="G152" s="4" t="s">
        <v>12</v>
      </c>
    </row>
    <row r="153" spans="1:7">
      <c r="A153" s="4" t="s">
        <v>63</v>
      </c>
      <c r="B153" s="4"/>
      <c r="C153" s="5">
        <v>46229.843043981484</v>
      </c>
      <c r="D153" s="15">
        <v>46229.905439814815</v>
      </c>
      <c r="E153" s="4" t="s">
        <v>10</v>
      </c>
      <c r="F153" s="4" t="s">
        <v>11</v>
      </c>
      <c r="G153" s="4" t="s">
        <v>12</v>
      </c>
    </row>
    <row r="154" spans="1:7" ht="16.5">
      <c r="A154" s="30" t="s">
        <v>49</v>
      </c>
      <c r="B154" s="4"/>
      <c r="C154" s="5">
        <v>46229.844270833331</v>
      </c>
      <c r="D154" s="15">
        <v>46229.845972222225</v>
      </c>
      <c r="E154" s="4" t="s">
        <v>10</v>
      </c>
      <c r="F154" s="4" t="s">
        <v>11</v>
      </c>
      <c r="G154" s="4" t="s">
        <v>12</v>
      </c>
    </row>
    <row r="155" spans="1:7">
      <c r="A155" s="4" t="s">
        <v>77</v>
      </c>
      <c r="B155" s="4"/>
      <c r="C155" s="5">
        <v>46229.844375000001</v>
      </c>
      <c r="D155" s="15">
        <v>46229.959953703707</v>
      </c>
      <c r="E155" s="4" t="s">
        <v>10</v>
      </c>
      <c r="F155" s="4" t="s">
        <v>17</v>
      </c>
      <c r="G155" s="4" t="s">
        <v>12</v>
      </c>
    </row>
    <row r="156" spans="1:7">
      <c r="A156" s="4" t="s">
        <v>46</v>
      </c>
      <c r="B156" s="4"/>
      <c r="C156" s="5">
        <v>46229.844629629632</v>
      </c>
      <c r="D156" s="15">
        <v>46229.845231481479</v>
      </c>
      <c r="E156" s="4" t="s">
        <v>10</v>
      </c>
      <c r="F156" s="4" t="s">
        <v>11</v>
      </c>
      <c r="G156" s="4" t="s">
        <v>12</v>
      </c>
    </row>
    <row r="157" spans="1:7">
      <c r="A157" s="4" t="s">
        <v>47</v>
      </c>
      <c r="B157" s="4"/>
      <c r="C157" s="5">
        <v>46229.844699074078</v>
      </c>
      <c r="D157" s="15">
        <v>46229.905289351853</v>
      </c>
      <c r="E157" s="4" t="s">
        <v>10</v>
      </c>
      <c r="F157" s="4" t="s">
        <v>11</v>
      </c>
      <c r="G157" s="4" t="s">
        <v>12</v>
      </c>
    </row>
    <row r="158" spans="1:7">
      <c r="A158" s="4" t="s">
        <v>23</v>
      </c>
      <c r="B158" s="4"/>
      <c r="C158" s="5">
        <v>46229.844756944447</v>
      </c>
      <c r="D158" s="15">
        <v>46229.959976851853</v>
      </c>
      <c r="E158" s="4" t="s">
        <v>10</v>
      </c>
      <c r="F158" s="4" t="s">
        <v>11</v>
      </c>
      <c r="G158" s="4" t="s">
        <v>12</v>
      </c>
    </row>
    <row r="159" spans="1:7">
      <c r="A159" s="4" t="s">
        <v>78</v>
      </c>
      <c r="B159" s="4"/>
      <c r="C159" s="5">
        <v>46229.845648148148</v>
      </c>
      <c r="D159" s="15">
        <v>46229.959988425922</v>
      </c>
      <c r="E159" s="4" t="s">
        <v>10</v>
      </c>
      <c r="F159" s="4" t="s">
        <v>11</v>
      </c>
      <c r="G159" s="4" t="s">
        <v>12</v>
      </c>
    </row>
    <row r="160" spans="1:7" ht="16.5">
      <c r="A160" s="30" t="s">
        <v>79</v>
      </c>
      <c r="B160" s="4"/>
      <c r="C160" s="5">
        <v>46229.847245370373</v>
      </c>
      <c r="D160" s="15">
        <v>46229.959976851853</v>
      </c>
      <c r="E160" s="4" t="s">
        <v>10</v>
      </c>
      <c r="F160" s="4" t="s">
        <v>17</v>
      </c>
      <c r="G160" s="4" t="s">
        <v>12</v>
      </c>
    </row>
    <row r="161" spans="1:7">
      <c r="A161" s="4" t="s">
        <v>69</v>
      </c>
      <c r="B161" s="4"/>
      <c r="C161" s="5">
        <v>46229.847326388888</v>
      </c>
      <c r="D161" s="15">
        <v>46229.874594907407</v>
      </c>
      <c r="E161" s="4" t="s">
        <v>10</v>
      </c>
      <c r="F161" s="4" t="s">
        <v>17</v>
      </c>
      <c r="G161" s="4" t="s">
        <v>12</v>
      </c>
    </row>
    <row r="162" spans="1:7">
      <c r="A162" s="4" t="s">
        <v>70</v>
      </c>
      <c r="B162" s="4"/>
      <c r="C162" s="5">
        <v>46229.847800925927</v>
      </c>
      <c r="D162" s="15">
        <v>46229.959976851853</v>
      </c>
      <c r="E162" s="4" t="s">
        <v>10</v>
      </c>
      <c r="F162" s="4" t="s">
        <v>17</v>
      </c>
      <c r="G162" s="4" t="s">
        <v>12</v>
      </c>
    </row>
    <row r="163" spans="1:7">
      <c r="A163" s="4" t="s">
        <v>39</v>
      </c>
      <c r="B163" s="4"/>
      <c r="C163" s="5">
        <v>46229.849143518521</v>
      </c>
      <c r="D163" s="15">
        <v>46229.954282407409</v>
      </c>
      <c r="E163" s="4" t="s">
        <v>10</v>
      </c>
      <c r="F163" s="4" t="s">
        <v>17</v>
      </c>
      <c r="G163" s="4" t="s">
        <v>12</v>
      </c>
    </row>
    <row r="164" spans="1:7" ht="16.5">
      <c r="A164" s="30" t="s">
        <v>80</v>
      </c>
      <c r="B164" s="4"/>
      <c r="C164" s="5">
        <v>46229.849537037036</v>
      </c>
      <c r="D164" s="15">
        <v>46229.871053240742</v>
      </c>
      <c r="E164" s="4" t="s">
        <v>10</v>
      </c>
      <c r="F164" s="4" t="s">
        <v>17</v>
      </c>
      <c r="G164" s="4" t="s">
        <v>12</v>
      </c>
    </row>
    <row r="165" spans="1:7">
      <c r="A165" s="4" t="s">
        <v>44</v>
      </c>
      <c r="B165" s="4"/>
      <c r="C165" s="5">
        <v>46229.850335648145</v>
      </c>
      <c r="D165" s="15">
        <v>46229.910185185188</v>
      </c>
      <c r="E165" s="4" t="s">
        <v>10</v>
      </c>
      <c r="F165" s="4" t="s">
        <v>17</v>
      </c>
      <c r="G165" s="4" t="s">
        <v>12</v>
      </c>
    </row>
    <row r="166" spans="1:7">
      <c r="A166" s="4" t="s">
        <v>33</v>
      </c>
      <c r="B166" s="4"/>
      <c r="C166" s="5">
        <v>46229.85392361111</v>
      </c>
      <c r="D166" s="15">
        <v>46229.912731481483</v>
      </c>
      <c r="E166" s="4" t="s">
        <v>10</v>
      </c>
      <c r="F166" s="4" t="s">
        <v>17</v>
      </c>
      <c r="G166" s="4" t="s">
        <v>12</v>
      </c>
    </row>
    <row r="167" spans="1:7">
      <c r="A167" s="4" t="s">
        <v>81</v>
      </c>
      <c r="B167" s="4"/>
      <c r="C167" s="5">
        <v>46229.854363425926</v>
      </c>
      <c r="D167" s="15">
        <v>46229.891435185185</v>
      </c>
      <c r="E167" s="4" t="s">
        <v>10</v>
      </c>
      <c r="F167" s="4" t="s">
        <v>17</v>
      </c>
      <c r="G167" s="4" t="s">
        <v>12</v>
      </c>
    </row>
    <row r="168" spans="1:7">
      <c r="A168" s="4" t="s">
        <v>82</v>
      </c>
      <c r="B168" s="4"/>
      <c r="C168" s="5">
        <v>46229.855763888889</v>
      </c>
      <c r="D168" s="15">
        <v>46229.859502314815</v>
      </c>
      <c r="E168" s="4" t="s">
        <v>10</v>
      </c>
      <c r="F168" s="4" t="s">
        <v>17</v>
      </c>
      <c r="G168" s="4" t="s">
        <v>12</v>
      </c>
    </row>
    <row r="169" spans="1:7">
      <c r="A169" s="4" t="s">
        <v>54</v>
      </c>
      <c r="B169" s="4"/>
      <c r="C169" s="5">
        <v>46229.856921296298</v>
      </c>
      <c r="D169" s="15">
        <v>46229.863645833335</v>
      </c>
      <c r="E169" s="4" t="s">
        <v>10</v>
      </c>
      <c r="F169" s="4" t="s">
        <v>17</v>
      </c>
      <c r="G169" s="4" t="s">
        <v>12</v>
      </c>
    </row>
    <row r="172" spans="1:7" ht="16.5">
      <c r="A172" s="34" t="s">
        <v>83</v>
      </c>
      <c r="B172" s="34"/>
      <c r="C172" s="34"/>
      <c r="D172" s="34"/>
      <c r="E172" s="34"/>
      <c r="F172" s="34"/>
      <c r="G172" s="34"/>
    </row>
    <row r="173" spans="1:7" ht="16.5">
      <c r="A173" s="35" t="s">
        <v>1</v>
      </c>
      <c r="B173" s="36" t="s">
        <v>2</v>
      </c>
      <c r="C173" s="36" t="s">
        <v>3</v>
      </c>
      <c r="D173" s="36" t="s">
        <v>4</v>
      </c>
      <c r="E173" s="36" t="s">
        <v>5</v>
      </c>
      <c r="F173" s="36" t="s">
        <v>7</v>
      </c>
      <c r="G173" s="36" t="s">
        <v>84</v>
      </c>
    </row>
    <row r="174" spans="1:7" ht="16.5">
      <c r="A174" s="41" t="s">
        <v>85</v>
      </c>
      <c r="B174" s="38" t="s">
        <v>84</v>
      </c>
      <c r="C174" s="39">
        <v>46236.845138888886</v>
      </c>
      <c r="D174" s="39">
        <v>46236.86041666667</v>
      </c>
      <c r="E174" s="38" t="s">
        <v>10</v>
      </c>
      <c r="F174" s="38" t="s">
        <v>12</v>
      </c>
      <c r="G174" s="38" t="s">
        <v>84</v>
      </c>
    </row>
    <row r="175" spans="1:7" ht="16.5">
      <c r="A175" s="37" t="s">
        <v>35</v>
      </c>
      <c r="B175" s="38" t="s">
        <v>84</v>
      </c>
      <c r="C175" s="39">
        <v>46236.847916666666</v>
      </c>
      <c r="D175" s="39">
        <v>46236.85833333333</v>
      </c>
      <c r="E175" s="38" t="s">
        <v>10</v>
      </c>
      <c r="F175" s="38" t="s">
        <v>12</v>
      </c>
      <c r="G175" s="38" t="s">
        <v>84</v>
      </c>
    </row>
    <row r="176" spans="1:7" ht="16.5">
      <c r="A176" s="37" t="s">
        <v>9</v>
      </c>
      <c r="B176" s="38" t="s">
        <v>84</v>
      </c>
      <c r="C176" s="39">
        <v>46236.847916666666</v>
      </c>
      <c r="D176" s="39">
        <v>46236.859027777777</v>
      </c>
      <c r="E176" s="38" t="s">
        <v>10</v>
      </c>
      <c r="F176" s="38" t="s">
        <v>12</v>
      </c>
      <c r="G176" s="38" t="s">
        <v>84</v>
      </c>
    </row>
    <row r="177" spans="1:7" ht="16.5">
      <c r="A177" s="37" t="s">
        <v>25</v>
      </c>
      <c r="B177" s="38" t="s">
        <v>84</v>
      </c>
      <c r="C177" s="39">
        <v>46236.85</v>
      </c>
      <c r="D177" s="39">
        <v>46236.85833333333</v>
      </c>
      <c r="E177" s="38" t="s">
        <v>10</v>
      </c>
      <c r="F177" s="38" t="s">
        <v>12</v>
      </c>
      <c r="G177" s="38" t="s">
        <v>84</v>
      </c>
    </row>
    <row r="178" spans="1:7" ht="16.5">
      <c r="A178" s="37" t="s">
        <v>19</v>
      </c>
      <c r="B178" s="38" t="s">
        <v>84</v>
      </c>
      <c r="C178" s="39">
        <v>46236.851388888892</v>
      </c>
      <c r="D178" s="39">
        <v>46236.85833333333</v>
      </c>
      <c r="E178" s="38" t="s">
        <v>10</v>
      </c>
      <c r="F178" s="38" t="s">
        <v>12</v>
      </c>
      <c r="G178" s="38" t="s">
        <v>84</v>
      </c>
    </row>
    <row r="179" spans="1:7" ht="16.5">
      <c r="A179" s="41" t="s">
        <v>86</v>
      </c>
      <c r="B179" s="38" t="s">
        <v>84</v>
      </c>
      <c r="C179" s="39">
        <v>46236.851388888892</v>
      </c>
      <c r="D179" s="39">
        <v>46236.86041666667</v>
      </c>
      <c r="E179" s="38" t="s">
        <v>10</v>
      </c>
      <c r="F179" s="38" t="s">
        <v>12</v>
      </c>
      <c r="G179" s="38" t="s">
        <v>84</v>
      </c>
    </row>
    <row r="180" spans="1:7" ht="16.5">
      <c r="A180" s="37" t="s">
        <v>14</v>
      </c>
      <c r="B180" s="38" t="s">
        <v>84</v>
      </c>
      <c r="C180" s="39">
        <v>46236.852777777778</v>
      </c>
      <c r="D180" s="39">
        <v>46236.85833333333</v>
      </c>
      <c r="E180" s="38" t="s">
        <v>10</v>
      </c>
      <c r="F180" s="38" t="s">
        <v>12</v>
      </c>
      <c r="G180" s="38" t="s">
        <v>84</v>
      </c>
    </row>
    <row r="181" spans="1:7" ht="16.5">
      <c r="A181" s="37" t="s">
        <v>87</v>
      </c>
      <c r="B181" s="38" t="s">
        <v>84</v>
      </c>
      <c r="C181" s="39">
        <v>46236.854166666664</v>
      </c>
      <c r="D181" s="39">
        <v>46236.859027777777</v>
      </c>
      <c r="E181" s="38" t="s">
        <v>10</v>
      </c>
      <c r="F181" s="38" t="s">
        <v>12</v>
      </c>
      <c r="G181" s="38" t="s">
        <v>84</v>
      </c>
    </row>
    <row r="182" spans="1:7" ht="16.5">
      <c r="A182" s="37" t="s">
        <v>46</v>
      </c>
      <c r="B182" s="38" t="s">
        <v>84</v>
      </c>
      <c r="C182" s="39">
        <v>46236.854166666664</v>
      </c>
      <c r="D182" s="39">
        <v>46236.859722222223</v>
      </c>
      <c r="E182" s="38" t="s">
        <v>10</v>
      </c>
      <c r="F182" s="38" t="s">
        <v>12</v>
      </c>
      <c r="G182" s="38" t="s">
        <v>84</v>
      </c>
    </row>
    <row r="183" spans="1:7" ht="16.5">
      <c r="A183" s="37" t="s">
        <v>47</v>
      </c>
      <c r="B183" s="38" t="s">
        <v>84</v>
      </c>
      <c r="C183" s="39">
        <v>46236.854861111111</v>
      </c>
      <c r="D183" s="39">
        <v>46236.85833333333</v>
      </c>
      <c r="E183" s="38" t="s">
        <v>10</v>
      </c>
      <c r="F183" s="38" t="s">
        <v>12</v>
      </c>
      <c r="G183" s="38" t="s">
        <v>84</v>
      </c>
    </row>
    <row r="184" spans="1:7" ht="16.5">
      <c r="A184" s="41" t="s">
        <v>88</v>
      </c>
      <c r="B184" s="38" t="s">
        <v>84</v>
      </c>
      <c r="C184" s="39">
        <v>46236.856944444444</v>
      </c>
      <c r="D184" s="39">
        <v>46236.85833333333</v>
      </c>
      <c r="E184" s="38" t="s">
        <v>10</v>
      </c>
      <c r="F184" s="38" t="s">
        <v>12</v>
      </c>
      <c r="G184" s="38" t="s">
        <v>84</v>
      </c>
    </row>
    <row r="185" spans="1:7" ht="16.5">
      <c r="A185" s="37" t="s">
        <v>31</v>
      </c>
      <c r="B185" s="38" t="s">
        <v>84</v>
      </c>
      <c r="C185" s="39">
        <v>46236.857638888891</v>
      </c>
      <c r="D185" s="39">
        <v>46236.85833333333</v>
      </c>
      <c r="E185" s="38" t="s">
        <v>10</v>
      </c>
      <c r="F185" s="38" t="s">
        <v>12</v>
      </c>
      <c r="G185" s="38" t="s">
        <v>84</v>
      </c>
    </row>
    <row r="186" spans="1:7" ht="16.5">
      <c r="A186" s="34"/>
      <c r="B186" s="34"/>
      <c r="C186" s="34"/>
      <c r="D186" s="34"/>
      <c r="E186" s="34"/>
      <c r="F186" s="34"/>
      <c r="G186" s="34"/>
    </row>
    <row r="187" spans="1:7" ht="16.5">
      <c r="A187" s="34" t="s">
        <v>89</v>
      </c>
      <c r="B187" s="34"/>
      <c r="C187" s="34"/>
      <c r="D187" s="34"/>
      <c r="E187" s="34"/>
      <c r="F187" s="34"/>
      <c r="G187" s="34"/>
    </row>
    <row r="188" spans="1:7" ht="16.5">
      <c r="A188" s="35" t="s">
        <v>1</v>
      </c>
      <c r="B188" s="36" t="s">
        <v>2</v>
      </c>
      <c r="C188" s="36" t="s">
        <v>3</v>
      </c>
      <c r="D188" s="36" t="s">
        <v>4</v>
      </c>
      <c r="E188" s="36" t="s">
        <v>5</v>
      </c>
      <c r="F188" s="36" t="s">
        <v>6</v>
      </c>
      <c r="G188" s="36" t="s">
        <v>7</v>
      </c>
    </row>
    <row r="189" spans="1:7" ht="16.5">
      <c r="A189" s="37" t="s">
        <v>69</v>
      </c>
      <c r="B189" s="38" t="s">
        <v>84</v>
      </c>
      <c r="C189" s="38">
        <v>46237.830439999998</v>
      </c>
      <c r="D189" s="40">
        <v>46237</v>
      </c>
      <c r="E189" s="38" t="s">
        <v>10</v>
      </c>
      <c r="F189" s="38" t="s">
        <v>17</v>
      </c>
      <c r="G189" s="38" t="s">
        <v>12</v>
      </c>
    </row>
    <row r="190" spans="1:7" ht="16.5">
      <c r="A190" s="41" t="s">
        <v>58</v>
      </c>
      <c r="B190" s="38" t="s">
        <v>84</v>
      </c>
      <c r="C190" s="38">
        <v>46237.832049999997</v>
      </c>
      <c r="D190" s="40">
        <v>46237</v>
      </c>
      <c r="E190" s="38" t="s">
        <v>10</v>
      </c>
      <c r="F190" s="38" t="s">
        <v>17</v>
      </c>
      <c r="G190" s="38" t="s">
        <v>12</v>
      </c>
    </row>
    <row r="191" spans="1:7" ht="16.5">
      <c r="A191" s="37" t="s">
        <v>82</v>
      </c>
      <c r="B191" s="38" t="s">
        <v>84</v>
      </c>
      <c r="C191" s="38">
        <v>46237.835570000003</v>
      </c>
      <c r="D191" s="40">
        <v>46237</v>
      </c>
      <c r="E191" s="38" t="s">
        <v>10</v>
      </c>
      <c r="F191" s="38" t="s">
        <v>11</v>
      </c>
      <c r="G191" s="38" t="s">
        <v>12</v>
      </c>
    </row>
    <row r="192" spans="1:7" ht="16.5">
      <c r="A192" s="37" t="s">
        <v>19</v>
      </c>
      <c r="B192" s="38" t="s">
        <v>84</v>
      </c>
      <c r="C192" s="38">
        <v>46237.839639999998</v>
      </c>
      <c r="D192" s="40">
        <v>46237</v>
      </c>
      <c r="E192" s="38" t="s">
        <v>10</v>
      </c>
      <c r="F192" s="38" t="s">
        <v>11</v>
      </c>
      <c r="G192" s="38" t="s">
        <v>12</v>
      </c>
    </row>
    <row r="193" spans="1:7" ht="16.5">
      <c r="A193" s="37" t="s">
        <v>9</v>
      </c>
      <c r="B193" s="38" t="s">
        <v>84</v>
      </c>
      <c r="C193" s="38">
        <v>46237.840210000002</v>
      </c>
      <c r="D193" s="40">
        <v>46237</v>
      </c>
      <c r="E193" s="38" t="s">
        <v>10</v>
      </c>
      <c r="F193" s="38" t="s">
        <v>17</v>
      </c>
      <c r="G193" s="38" t="s">
        <v>12</v>
      </c>
    </row>
    <row r="194" spans="1:7" ht="16.5">
      <c r="A194" s="37" t="s">
        <v>47</v>
      </c>
      <c r="B194" s="38" t="s">
        <v>84</v>
      </c>
      <c r="C194" s="38">
        <v>46237.840239999998</v>
      </c>
      <c r="D194" s="40">
        <v>46237</v>
      </c>
      <c r="E194" s="38" t="s">
        <v>10</v>
      </c>
      <c r="F194" s="38" t="s">
        <v>17</v>
      </c>
      <c r="G194" s="38" t="s">
        <v>12</v>
      </c>
    </row>
    <row r="195" spans="1:7" ht="16.5">
      <c r="A195" s="37" t="s">
        <v>25</v>
      </c>
      <c r="B195" s="38" t="s">
        <v>84</v>
      </c>
      <c r="C195" s="38">
        <v>46237.84074</v>
      </c>
      <c r="D195" s="40">
        <v>46237</v>
      </c>
      <c r="E195" s="38" t="s">
        <v>10</v>
      </c>
      <c r="F195" s="38" t="s">
        <v>11</v>
      </c>
      <c r="G195" s="38" t="s">
        <v>12</v>
      </c>
    </row>
    <row r="196" spans="1:7" ht="16.5">
      <c r="A196" s="37" t="s">
        <v>27</v>
      </c>
      <c r="B196" s="38" t="s">
        <v>84</v>
      </c>
      <c r="C196" s="38">
        <v>46237.841110000001</v>
      </c>
      <c r="D196" s="40">
        <v>46237</v>
      </c>
      <c r="E196" s="38" t="s">
        <v>10</v>
      </c>
      <c r="F196" s="38" t="s">
        <v>11</v>
      </c>
      <c r="G196" s="38" t="s">
        <v>12</v>
      </c>
    </row>
    <row r="197" spans="1:7" ht="16.5">
      <c r="A197" s="37" t="s">
        <v>90</v>
      </c>
      <c r="B197" s="38" t="s">
        <v>84</v>
      </c>
      <c r="C197" s="38">
        <v>46237.841740000003</v>
      </c>
      <c r="D197" s="40">
        <v>46237</v>
      </c>
      <c r="E197" s="38" t="s">
        <v>10</v>
      </c>
      <c r="F197" s="38" t="s">
        <v>17</v>
      </c>
      <c r="G197" s="38" t="s">
        <v>12</v>
      </c>
    </row>
    <row r="198" spans="1:7" ht="16.5">
      <c r="A198" s="37" t="s">
        <v>35</v>
      </c>
      <c r="B198" s="38" t="s">
        <v>84</v>
      </c>
      <c r="C198" s="38">
        <v>46237.842129999997</v>
      </c>
      <c r="D198" s="40">
        <v>46237</v>
      </c>
      <c r="E198" s="38" t="s">
        <v>10</v>
      </c>
      <c r="F198" s="38" t="s">
        <v>17</v>
      </c>
      <c r="G198" s="38" t="s">
        <v>12</v>
      </c>
    </row>
    <row r="199" spans="1:7" ht="16.5">
      <c r="A199" s="37" t="s">
        <v>14</v>
      </c>
      <c r="B199" s="38" t="s">
        <v>84</v>
      </c>
      <c r="C199" s="38">
        <v>46237.844210000003</v>
      </c>
      <c r="D199" s="40">
        <v>46237</v>
      </c>
      <c r="E199" s="38" t="s">
        <v>10</v>
      </c>
      <c r="F199" s="38" t="s">
        <v>11</v>
      </c>
      <c r="G199" s="38" t="s">
        <v>12</v>
      </c>
    </row>
    <row r="200" spans="1:7" ht="16.5">
      <c r="A200" s="37" t="s">
        <v>46</v>
      </c>
      <c r="B200" s="38" t="s">
        <v>84</v>
      </c>
      <c r="C200" s="38">
        <v>46237.848400000003</v>
      </c>
      <c r="D200" s="40">
        <v>46237</v>
      </c>
      <c r="E200" s="38" t="s">
        <v>10</v>
      </c>
      <c r="F200" s="38" t="s">
        <v>11</v>
      </c>
      <c r="G200" s="38" t="s">
        <v>12</v>
      </c>
    </row>
    <row r="201" spans="1:7" ht="16.5">
      <c r="A201" s="37" t="s">
        <v>21</v>
      </c>
      <c r="B201" s="38" t="s">
        <v>84</v>
      </c>
      <c r="C201" s="38">
        <v>46237.848910000001</v>
      </c>
      <c r="D201" s="40">
        <v>46237</v>
      </c>
      <c r="E201" s="38" t="s">
        <v>10</v>
      </c>
      <c r="F201" s="38" t="s">
        <v>17</v>
      </c>
      <c r="G201" s="38" t="s">
        <v>12</v>
      </c>
    </row>
    <row r="202" spans="1:7" ht="16.5">
      <c r="A202" s="37" t="s">
        <v>70</v>
      </c>
      <c r="B202" s="38" t="s">
        <v>84</v>
      </c>
      <c r="C202" s="38">
        <v>46237.851750000002</v>
      </c>
      <c r="D202" s="40">
        <v>46237</v>
      </c>
      <c r="E202" s="38" t="s">
        <v>10</v>
      </c>
      <c r="F202" s="38" t="s">
        <v>17</v>
      </c>
      <c r="G202" s="38" t="s">
        <v>12</v>
      </c>
    </row>
    <row r="203" spans="1:7" ht="16.5">
      <c r="A203" s="37" t="s">
        <v>23</v>
      </c>
      <c r="B203" s="38" t="s">
        <v>84</v>
      </c>
      <c r="C203" s="38">
        <v>46237.856760000002</v>
      </c>
      <c r="D203" s="40">
        <v>46237</v>
      </c>
      <c r="E203" s="38" t="s">
        <v>10</v>
      </c>
      <c r="F203" s="38" t="s">
        <v>11</v>
      </c>
      <c r="G203" s="38" t="s">
        <v>12</v>
      </c>
    </row>
    <row r="204" spans="1:7" ht="16.5">
      <c r="A204" s="37" t="s">
        <v>33</v>
      </c>
      <c r="B204" s="38" t="s">
        <v>84</v>
      </c>
      <c r="C204" s="38">
        <v>46237.859770000003</v>
      </c>
      <c r="D204" s="40">
        <v>46237</v>
      </c>
      <c r="E204" s="38" t="s">
        <v>10</v>
      </c>
      <c r="F204" s="38" t="s">
        <v>11</v>
      </c>
      <c r="G204" s="38" t="s">
        <v>12</v>
      </c>
    </row>
    <row r="205" spans="1:7" ht="16.5">
      <c r="A205" s="37" t="s">
        <v>81</v>
      </c>
      <c r="B205" s="38" t="s">
        <v>84</v>
      </c>
      <c r="C205" s="38">
        <v>46237.862430000001</v>
      </c>
      <c r="D205" s="40">
        <v>46237</v>
      </c>
      <c r="E205" s="38" t="s">
        <v>10</v>
      </c>
      <c r="F205" s="38" t="s">
        <v>11</v>
      </c>
      <c r="G205" s="38" t="s">
        <v>12</v>
      </c>
    </row>
    <row r="206" spans="1:7" ht="16.5">
      <c r="A206" s="37" t="s">
        <v>87</v>
      </c>
      <c r="B206" s="38" t="s">
        <v>84</v>
      </c>
      <c r="C206" s="38">
        <v>46237.882890000001</v>
      </c>
      <c r="D206" s="40">
        <v>46237</v>
      </c>
      <c r="E206" s="38" t="s">
        <v>10</v>
      </c>
      <c r="F206" s="38" t="s">
        <v>17</v>
      </c>
      <c r="G206" s="38" t="s">
        <v>12</v>
      </c>
    </row>
    <row r="207" spans="1:7" ht="16.5">
      <c r="A207" s="37" t="s">
        <v>29</v>
      </c>
      <c r="B207" s="38" t="s">
        <v>84</v>
      </c>
      <c r="C207" s="38">
        <v>46237.88882</v>
      </c>
      <c r="D207" s="40">
        <v>46237</v>
      </c>
      <c r="E207" s="38" t="s">
        <v>10</v>
      </c>
      <c r="F207" s="38" t="s">
        <v>17</v>
      </c>
      <c r="G207" s="38" t="s">
        <v>12</v>
      </c>
    </row>
    <row r="208" spans="1:7" ht="16.5">
      <c r="A208" s="37" t="s">
        <v>44</v>
      </c>
      <c r="B208" s="38" t="s">
        <v>84</v>
      </c>
      <c r="C208" s="38">
        <v>46237.890350000001</v>
      </c>
      <c r="D208" s="40">
        <v>46237</v>
      </c>
      <c r="E208" s="38" t="s">
        <v>10</v>
      </c>
      <c r="F208" s="38" t="s">
        <v>17</v>
      </c>
      <c r="G208" s="38" t="s">
        <v>12</v>
      </c>
    </row>
    <row r="209" spans="1:7" ht="16.5">
      <c r="A209" s="34"/>
      <c r="B209" s="34"/>
      <c r="C209" s="34"/>
      <c r="D209" s="34"/>
      <c r="E209" s="34"/>
      <c r="F209" s="34"/>
      <c r="G209" s="34"/>
    </row>
    <row r="210" spans="1:7" ht="16.5">
      <c r="A210" s="34" t="s">
        <v>91</v>
      </c>
      <c r="B210" s="34"/>
      <c r="C210" s="34"/>
      <c r="D210" s="34"/>
      <c r="E210" s="34"/>
      <c r="F210" s="34"/>
      <c r="G210" s="34"/>
    </row>
    <row r="211" spans="1:7" ht="16.5">
      <c r="A211" s="35" t="s">
        <v>1</v>
      </c>
      <c r="B211" s="36" t="s">
        <v>2</v>
      </c>
      <c r="C211" s="36" t="s">
        <v>3</v>
      </c>
      <c r="D211" s="36" t="s">
        <v>4</v>
      </c>
      <c r="E211" s="36" t="s">
        <v>5</v>
      </c>
      <c r="F211" s="36" t="s">
        <v>6</v>
      </c>
      <c r="G211" s="36" t="s">
        <v>7</v>
      </c>
    </row>
    <row r="212" spans="1:7" ht="16.5">
      <c r="A212" s="37" t="s">
        <v>69</v>
      </c>
      <c r="B212" s="38" t="s">
        <v>84</v>
      </c>
      <c r="C212" s="38">
        <v>46238.831480000001</v>
      </c>
      <c r="D212" s="40">
        <v>46238</v>
      </c>
      <c r="E212" s="38" t="s">
        <v>10</v>
      </c>
      <c r="F212" s="38" t="s">
        <v>17</v>
      </c>
      <c r="G212" s="38" t="s">
        <v>12</v>
      </c>
    </row>
    <row r="213" spans="1:7" ht="16.5">
      <c r="A213" s="37" t="s">
        <v>35</v>
      </c>
      <c r="B213" s="38" t="s">
        <v>84</v>
      </c>
      <c r="C213" s="38">
        <v>46238.834320000002</v>
      </c>
      <c r="D213" s="40">
        <v>46238</v>
      </c>
      <c r="E213" s="38" t="s">
        <v>10</v>
      </c>
      <c r="F213" s="38" t="s">
        <v>11</v>
      </c>
      <c r="G213" s="38" t="s">
        <v>12</v>
      </c>
    </row>
    <row r="214" spans="1:7" ht="16.5">
      <c r="A214" s="37" t="s">
        <v>19</v>
      </c>
      <c r="B214" s="38" t="s">
        <v>84</v>
      </c>
      <c r="C214" s="38">
        <v>46238.838320000003</v>
      </c>
      <c r="D214" s="40">
        <v>46238</v>
      </c>
      <c r="E214" s="38" t="s">
        <v>10</v>
      </c>
      <c r="F214" s="38" t="s">
        <v>17</v>
      </c>
      <c r="G214" s="38" t="s">
        <v>12</v>
      </c>
    </row>
    <row r="215" spans="1:7" ht="16.5">
      <c r="A215" s="37" t="s">
        <v>46</v>
      </c>
      <c r="B215" s="38" t="s">
        <v>84</v>
      </c>
      <c r="C215" s="38">
        <v>46238.838819999997</v>
      </c>
      <c r="D215" s="40">
        <v>46238</v>
      </c>
      <c r="E215" s="38" t="s">
        <v>10</v>
      </c>
      <c r="F215" s="38" t="s">
        <v>11</v>
      </c>
      <c r="G215" s="38" t="s">
        <v>12</v>
      </c>
    </row>
    <row r="216" spans="1:7" ht="16.5">
      <c r="A216" s="41" t="s">
        <v>86</v>
      </c>
      <c r="B216" s="38" t="s">
        <v>84</v>
      </c>
      <c r="C216" s="38">
        <v>46238.839090000001</v>
      </c>
      <c r="D216" s="40">
        <v>46238</v>
      </c>
      <c r="E216" s="38" t="s">
        <v>10</v>
      </c>
      <c r="F216" s="38" t="s">
        <v>11</v>
      </c>
      <c r="G216" s="38" t="s">
        <v>12</v>
      </c>
    </row>
    <row r="217" spans="1:7" ht="16.5">
      <c r="A217" s="41" t="s">
        <v>58</v>
      </c>
      <c r="B217" s="38" t="s">
        <v>84</v>
      </c>
      <c r="C217" s="38">
        <v>46238.83999</v>
      </c>
      <c r="D217" s="40">
        <v>46238</v>
      </c>
      <c r="E217" s="38" t="s">
        <v>10</v>
      </c>
      <c r="F217" s="38" t="s">
        <v>17</v>
      </c>
      <c r="G217" s="38" t="s">
        <v>12</v>
      </c>
    </row>
    <row r="218" spans="1:7" ht="16.5">
      <c r="A218" s="37" t="s">
        <v>47</v>
      </c>
      <c r="B218" s="38" t="s">
        <v>84</v>
      </c>
      <c r="C218" s="38">
        <v>46238.840340000002</v>
      </c>
      <c r="D218" s="40">
        <v>46238</v>
      </c>
      <c r="E218" s="38" t="s">
        <v>10</v>
      </c>
      <c r="F218" s="38" t="s">
        <v>17</v>
      </c>
      <c r="G218" s="38" t="s">
        <v>12</v>
      </c>
    </row>
    <row r="219" spans="1:7" ht="16.5">
      <c r="A219" s="37" t="s">
        <v>14</v>
      </c>
      <c r="B219" s="38" t="s">
        <v>84</v>
      </c>
      <c r="C219" s="38">
        <v>46238.840609999999</v>
      </c>
      <c r="D219" s="40">
        <v>46238</v>
      </c>
      <c r="E219" s="38" t="s">
        <v>10</v>
      </c>
      <c r="F219" s="38" t="s">
        <v>11</v>
      </c>
      <c r="G219" s="38" t="s">
        <v>12</v>
      </c>
    </row>
    <row r="220" spans="1:7" ht="16.5">
      <c r="A220" s="37" t="s">
        <v>70</v>
      </c>
      <c r="B220" s="38" t="s">
        <v>84</v>
      </c>
      <c r="C220" s="38">
        <v>46238.840839999997</v>
      </c>
      <c r="D220" s="40">
        <v>46238</v>
      </c>
      <c r="E220" s="38" t="s">
        <v>10</v>
      </c>
      <c r="F220" s="38" t="s">
        <v>11</v>
      </c>
      <c r="G220" s="38" t="s">
        <v>12</v>
      </c>
    </row>
    <row r="221" spans="1:7" ht="16.5">
      <c r="A221" s="37" t="s">
        <v>9</v>
      </c>
      <c r="B221" s="38" t="s">
        <v>84</v>
      </c>
      <c r="C221" s="38">
        <v>46238.842600000004</v>
      </c>
      <c r="D221" s="40">
        <v>46238</v>
      </c>
      <c r="E221" s="38" t="s">
        <v>10</v>
      </c>
      <c r="F221" s="38" t="s">
        <v>17</v>
      </c>
      <c r="G221" s="38" t="s">
        <v>12</v>
      </c>
    </row>
    <row r="222" spans="1:7" ht="16.5">
      <c r="A222" s="37" t="s">
        <v>92</v>
      </c>
      <c r="B222" s="38" t="s">
        <v>84</v>
      </c>
      <c r="C222" s="38">
        <v>46238.842909999999</v>
      </c>
      <c r="D222" s="40">
        <v>46238</v>
      </c>
      <c r="E222" s="38" t="s">
        <v>10</v>
      </c>
      <c r="F222" s="38" t="s">
        <v>11</v>
      </c>
      <c r="G222" s="38" t="s">
        <v>12</v>
      </c>
    </row>
    <row r="223" spans="1:7" ht="16.5">
      <c r="A223" s="37" t="s">
        <v>93</v>
      </c>
      <c r="B223" s="38" t="s">
        <v>84</v>
      </c>
      <c r="C223" s="38">
        <v>46238.843430000001</v>
      </c>
      <c r="D223" s="40">
        <v>46238</v>
      </c>
      <c r="E223" s="38" t="s">
        <v>10</v>
      </c>
      <c r="F223" s="38" t="s">
        <v>11</v>
      </c>
      <c r="G223" s="38" t="s">
        <v>12</v>
      </c>
    </row>
    <row r="224" spans="1:7" ht="16.5">
      <c r="A224" s="37" t="s">
        <v>44</v>
      </c>
      <c r="B224" s="38" t="s">
        <v>84</v>
      </c>
      <c r="C224" s="38">
        <v>46238.844060000003</v>
      </c>
      <c r="D224" s="40">
        <v>46238</v>
      </c>
      <c r="E224" s="38" t="s">
        <v>10</v>
      </c>
      <c r="F224" s="38" t="s">
        <v>11</v>
      </c>
      <c r="G224" s="38" t="s">
        <v>12</v>
      </c>
    </row>
    <row r="225" spans="1:7" ht="16.5">
      <c r="A225" s="37" t="s">
        <v>29</v>
      </c>
      <c r="B225" s="38" t="s">
        <v>84</v>
      </c>
      <c r="C225" s="38">
        <v>46238.844859999997</v>
      </c>
      <c r="D225" s="40">
        <v>46238</v>
      </c>
      <c r="E225" s="38" t="s">
        <v>10</v>
      </c>
      <c r="F225" s="38" t="s">
        <v>11</v>
      </c>
      <c r="G225" s="38" t="s">
        <v>12</v>
      </c>
    </row>
    <row r="226" spans="1:7" ht="16.5">
      <c r="A226" s="37" t="s">
        <v>88</v>
      </c>
      <c r="B226" s="38" t="s">
        <v>84</v>
      </c>
      <c r="C226" s="38">
        <v>46238.845860000001</v>
      </c>
      <c r="D226" s="40">
        <v>46238</v>
      </c>
      <c r="E226" s="38" t="s">
        <v>10</v>
      </c>
      <c r="F226" s="38" t="s">
        <v>17</v>
      </c>
      <c r="G226" s="38" t="s">
        <v>12</v>
      </c>
    </row>
    <row r="227" spans="1:7" ht="16.5">
      <c r="A227" s="37" t="s">
        <v>94</v>
      </c>
      <c r="B227" s="38" t="s">
        <v>84</v>
      </c>
      <c r="C227" s="38">
        <v>46238.846230000003</v>
      </c>
      <c r="D227" s="40">
        <v>46238</v>
      </c>
      <c r="E227" s="38" t="s">
        <v>10</v>
      </c>
      <c r="F227" s="38" t="s">
        <v>11</v>
      </c>
      <c r="G227" s="38" t="s">
        <v>12</v>
      </c>
    </row>
    <row r="228" spans="1:7" ht="16.5">
      <c r="A228" s="37" t="s">
        <v>54</v>
      </c>
      <c r="B228" s="38" t="s">
        <v>84</v>
      </c>
      <c r="C228" s="38">
        <v>46238.84663</v>
      </c>
      <c r="D228" s="40">
        <v>46238</v>
      </c>
      <c r="E228" s="38" t="s">
        <v>10</v>
      </c>
      <c r="F228" s="38" t="s">
        <v>17</v>
      </c>
      <c r="G228" s="38" t="s">
        <v>12</v>
      </c>
    </row>
    <row r="229" spans="1:7" ht="16.5">
      <c r="A229" s="37" t="s">
        <v>21</v>
      </c>
      <c r="B229" s="38" t="s">
        <v>84</v>
      </c>
      <c r="C229" s="38">
        <v>46238.847549999999</v>
      </c>
      <c r="D229" s="40">
        <v>46238</v>
      </c>
      <c r="E229" s="38" t="s">
        <v>10</v>
      </c>
      <c r="F229" s="38" t="s">
        <v>17</v>
      </c>
      <c r="G229" s="38" t="s">
        <v>12</v>
      </c>
    </row>
    <row r="230" spans="1:7" ht="16.5">
      <c r="A230" s="37" t="s">
        <v>81</v>
      </c>
      <c r="B230" s="38" t="s">
        <v>84</v>
      </c>
      <c r="C230" s="38">
        <v>46238.848830000003</v>
      </c>
      <c r="D230" s="40">
        <v>46238</v>
      </c>
      <c r="E230" s="38" t="s">
        <v>10</v>
      </c>
      <c r="F230" s="38" t="s">
        <v>17</v>
      </c>
      <c r="G230" s="38" t="s">
        <v>12</v>
      </c>
    </row>
    <row r="231" spans="1:7" ht="16.5">
      <c r="A231" s="37" t="s">
        <v>95</v>
      </c>
      <c r="B231" s="38" t="s">
        <v>84</v>
      </c>
      <c r="C231" s="38">
        <v>46238.849199999997</v>
      </c>
      <c r="D231" s="40">
        <v>46238</v>
      </c>
      <c r="E231" s="38" t="s">
        <v>10</v>
      </c>
      <c r="F231" s="38" t="s">
        <v>11</v>
      </c>
      <c r="G231" s="38" t="s">
        <v>12</v>
      </c>
    </row>
    <row r="232" spans="1:7" ht="16.5">
      <c r="A232" s="37" t="s">
        <v>87</v>
      </c>
      <c r="B232" s="38" t="s">
        <v>84</v>
      </c>
      <c r="C232" s="38">
        <v>46238.84938</v>
      </c>
      <c r="D232" s="40">
        <v>46238</v>
      </c>
      <c r="E232" s="38" t="s">
        <v>10</v>
      </c>
      <c r="F232" s="38" t="s">
        <v>11</v>
      </c>
      <c r="G232" s="38" t="s">
        <v>12</v>
      </c>
    </row>
    <row r="233" spans="1:7" ht="16.5">
      <c r="A233" s="37" t="s">
        <v>23</v>
      </c>
      <c r="B233" s="38" t="s">
        <v>84</v>
      </c>
      <c r="C233" s="38">
        <v>46238.853040000002</v>
      </c>
      <c r="D233" s="40">
        <v>46238</v>
      </c>
      <c r="E233" s="38" t="s">
        <v>10</v>
      </c>
      <c r="F233" s="38" t="s">
        <v>17</v>
      </c>
      <c r="G233" s="38" t="s">
        <v>12</v>
      </c>
    </row>
    <row r="234" spans="1:7" ht="16.5">
      <c r="A234" s="37" t="s">
        <v>33</v>
      </c>
      <c r="B234" s="38" t="s">
        <v>84</v>
      </c>
      <c r="C234" s="38">
        <v>46238.855000000003</v>
      </c>
      <c r="D234" s="40">
        <v>46238</v>
      </c>
      <c r="E234" s="38" t="s">
        <v>10</v>
      </c>
      <c r="F234" s="38" t="s">
        <v>17</v>
      </c>
      <c r="G234" s="38" t="s"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9"/>
  <sheetViews>
    <sheetView showGridLines="0" tabSelected="1" workbookViewId="0">
      <selection activeCell="N3" sqref="N3"/>
    </sheetView>
  </sheetViews>
  <sheetFormatPr defaultRowHeight="15"/>
  <cols>
    <col min="1" max="1" width="39.7109375" customWidth="1"/>
    <col min="2" max="2" width="12.28515625" customWidth="1"/>
    <col min="3" max="3" width="13.42578125" customWidth="1"/>
    <col min="4" max="4" width="11.5703125" customWidth="1"/>
    <col min="5" max="5" width="11.28515625" customWidth="1"/>
    <col min="6" max="6" width="13.85546875" customWidth="1"/>
    <col min="7" max="7" width="12.85546875" customWidth="1"/>
    <col min="8" max="8" width="13.42578125" customWidth="1"/>
    <col min="9" max="9" width="13.140625" customWidth="1"/>
    <col min="10" max="10" width="12.42578125" customWidth="1"/>
    <col min="11" max="11" width="21.28515625" customWidth="1"/>
    <col min="12" max="12" width="18.140625" customWidth="1"/>
  </cols>
  <sheetData>
    <row r="1" spans="1:12" s="18" customFormat="1" ht="31.5" customHeight="1">
      <c r="A1" s="16" t="s">
        <v>96</v>
      </c>
      <c r="B1" s="17" t="s">
        <v>97</v>
      </c>
      <c r="C1" s="17" t="s">
        <v>98</v>
      </c>
      <c r="D1" s="17" t="s">
        <v>99</v>
      </c>
      <c r="E1" s="17" t="s">
        <v>100</v>
      </c>
      <c r="F1" s="32" t="s">
        <v>101</v>
      </c>
      <c r="G1" s="32" t="s">
        <v>102</v>
      </c>
      <c r="H1" s="32" t="s">
        <v>103</v>
      </c>
      <c r="I1" s="32" t="s">
        <v>104</v>
      </c>
      <c r="J1" s="32" t="s">
        <v>105</v>
      </c>
      <c r="K1" s="49" t="s">
        <v>106</v>
      </c>
      <c r="L1" s="49" t="s">
        <v>107</v>
      </c>
    </row>
    <row r="2" spans="1:12" ht="26.25" customHeight="1">
      <c r="A2" s="6" t="s">
        <v>13</v>
      </c>
      <c r="B2" s="19">
        <v>1</v>
      </c>
      <c r="C2" s="19">
        <v>1</v>
      </c>
      <c r="D2" s="19">
        <v>1</v>
      </c>
      <c r="E2" s="19">
        <v>1</v>
      </c>
      <c r="F2" s="19">
        <v>1</v>
      </c>
      <c r="G2" s="19">
        <v>1</v>
      </c>
      <c r="H2" s="42">
        <v>1</v>
      </c>
      <c r="I2" s="46">
        <v>1</v>
      </c>
      <c r="J2" s="46">
        <v>1</v>
      </c>
      <c r="K2" s="53">
        <f>COUNTIF(B2:J2,"1")</f>
        <v>9</v>
      </c>
      <c r="L2" s="52">
        <f>COUNTIF(B2:J2,1)/(COUNTIF(B2:J2,1)+COUNTIF(B2:J2,0)) *100</f>
        <v>100</v>
      </c>
    </row>
    <row r="3" spans="1:12" ht="18.75" customHeight="1">
      <c r="A3" s="6" t="s">
        <v>15</v>
      </c>
      <c r="B3" s="4">
        <v>1</v>
      </c>
      <c r="C3" s="4">
        <v>1</v>
      </c>
      <c r="D3" s="4">
        <v>1</v>
      </c>
      <c r="E3" s="31">
        <v>1</v>
      </c>
      <c r="F3" s="31">
        <v>1</v>
      </c>
      <c r="G3" s="31">
        <v>1</v>
      </c>
      <c r="H3" s="29">
        <v>0</v>
      </c>
      <c r="I3" s="46">
        <v>1</v>
      </c>
      <c r="J3" s="46">
        <v>1</v>
      </c>
      <c r="K3" s="50">
        <f>COUNTIF(B3:J3,"1")</f>
        <v>8</v>
      </c>
      <c r="L3" s="54">
        <f t="shared" ref="L3:L29" si="0">COUNTIF(B3:J3,1)/(COUNTIF(B3:J3,1)+COUNTIF(B3:J3,0)) *100</f>
        <v>88.888888888888886</v>
      </c>
    </row>
    <row r="4" spans="1:12" ht="14.25" customHeight="1">
      <c r="A4" s="6" t="s">
        <v>18</v>
      </c>
      <c r="B4" s="4">
        <v>1</v>
      </c>
      <c r="C4" s="26">
        <v>0</v>
      </c>
      <c r="D4" s="29">
        <v>0</v>
      </c>
      <c r="E4" s="27">
        <v>1</v>
      </c>
      <c r="F4" s="27">
        <v>1</v>
      </c>
      <c r="G4" s="27">
        <v>1</v>
      </c>
      <c r="H4" s="29">
        <v>0</v>
      </c>
      <c r="I4" s="46">
        <v>1</v>
      </c>
      <c r="J4" s="46">
        <v>1</v>
      </c>
      <c r="K4" s="50">
        <f>COUNTIF(B4:J4,"1")</f>
        <v>6</v>
      </c>
      <c r="L4" s="54">
        <f t="shared" si="0"/>
        <v>66.666666666666657</v>
      </c>
    </row>
    <row r="5" spans="1:12" ht="19.5" customHeight="1">
      <c r="A5" s="6" t="s">
        <v>20</v>
      </c>
      <c r="B5" s="4">
        <v>1</v>
      </c>
      <c r="C5" s="27">
        <v>1</v>
      </c>
      <c r="D5" s="27">
        <v>1</v>
      </c>
      <c r="E5" s="27">
        <v>1</v>
      </c>
      <c r="F5" s="27">
        <v>1</v>
      </c>
      <c r="G5" s="27">
        <v>1</v>
      </c>
      <c r="H5" s="47">
        <v>0</v>
      </c>
      <c r="I5" s="45">
        <v>1</v>
      </c>
      <c r="J5" s="46">
        <v>1</v>
      </c>
      <c r="K5" s="50">
        <f>COUNTIF(B5:J5,"1")</f>
        <v>8</v>
      </c>
      <c r="L5" s="54">
        <f t="shared" si="0"/>
        <v>88.888888888888886</v>
      </c>
    </row>
    <row r="6" spans="1:12" ht="17.25" customHeight="1">
      <c r="A6" s="6" t="s">
        <v>22</v>
      </c>
      <c r="B6" s="4">
        <v>1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2">
        <v>1</v>
      </c>
      <c r="I6" s="48">
        <v>1</v>
      </c>
      <c r="J6" s="46">
        <v>1</v>
      </c>
      <c r="K6" s="50">
        <f>COUNTIF(B6:J6,"1")</f>
        <v>9</v>
      </c>
      <c r="L6" s="54">
        <f t="shared" si="0"/>
        <v>100</v>
      </c>
    </row>
    <row r="7" spans="1:12" ht="19.5" customHeight="1">
      <c r="A7" s="6" t="s">
        <v>24</v>
      </c>
      <c r="B7" s="4">
        <v>1</v>
      </c>
      <c r="C7" s="4">
        <v>1</v>
      </c>
      <c r="D7" s="4">
        <v>1</v>
      </c>
      <c r="E7" s="4">
        <v>1</v>
      </c>
      <c r="F7" s="25">
        <v>0</v>
      </c>
      <c r="G7" s="4">
        <v>1</v>
      </c>
      <c r="H7" s="43">
        <v>1</v>
      </c>
      <c r="I7" s="45">
        <v>1</v>
      </c>
      <c r="J7" s="46">
        <v>1</v>
      </c>
      <c r="K7" s="50">
        <f>COUNTIF(B7:J7,"1")</f>
        <v>8</v>
      </c>
      <c r="L7" s="54">
        <f t="shared" si="0"/>
        <v>88.888888888888886</v>
      </c>
    </row>
    <row r="8" spans="1:12" ht="17.25" customHeight="1">
      <c r="A8" s="6" t="s">
        <v>26</v>
      </c>
      <c r="B8" s="4">
        <v>1</v>
      </c>
      <c r="C8" s="4">
        <v>1</v>
      </c>
      <c r="D8" s="4">
        <v>1</v>
      </c>
      <c r="E8" s="25">
        <v>0</v>
      </c>
      <c r="F8" s="4">
        <v>1</v>
      </c>
      <c r="G8" s="25">
        <v>0</v>
      </c>
      <c r="H8" s="44">
        <v>1</v>
      </c>
      <c r="I8" s="29">
        <v>0</v>
      </c>
      <c r="J8" s="46">
        <v>1</v>
      </c>
      <c r="K8" s="50">
        <f>COUNTIF(B8:J8,"1")</f>
        <v>6</v>
      </c>
      <c r="L8" s="54">
        <f t="shared" si="0"/>
        <v>66.666666666666657</v>
      </c>
    </row>
    <row r="9" spans="1:12" ht="17.25" customHeight="1">
      <c r="A9" s="6" t="s">
        <v>28</v>
      </c>
      <c r="B9" s="4">
        <v>1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29">
        <v>0</v>
      </c>
      <c r="I9" s="29">
        <v>0</v>
      </c>
      <c r="J9" s="46">
        <v>1</v>
      </c>
      <c r="K9" s="50">
        <f>COUNTIF(B9:J9,"1")</f>
        <v>7</v>
      </c>
      <c r="L9" s="54">
        <f t="shared" si="0"/>
        <v>77.777777777777786</v>
      </c>
    </row>
    <row r="10" spans="1:12" ht="18.75" customHeight="1">
      <c r="A10" s="6" t="s">
        <v>30</v>
      </c>
      <c r="B10" s="4">
        <v>1</v>
      </c>
      <c r="C10" s="26">
        <v>0</v>
      </c>
      <c r="D10" s="4">
        <v>1</v>
      </c>
      <c r="E10" s="4">
        <v>1</v>
      </c>
      <c r="F10" s="4">
        <v>1</v>
      </c>
      <c r="G10" s="4">
        <v>1</v>
      </c>
      <c r="H10" s="29">
        <v>0</v>
      </c>
      <c r="I10" s="46">
        <v>1</v>
      </c>
      <c r="J10" s="46">
        <v>1</v>
      </c>
      <c r="K10" s="50">
        <f>COUNTIF(B10:J10,"1")</f>
        <v>7</v>
      </c>
      <c r="L10" s="54">
        <f t="shared" si="0"/>
        <v>77.777777777777786</v>
      </c>
    </row>
    <row r="11" spans="1:12" ht="18" customHeight="1">
      <c r="A11" s="6" t="s">
        <v>32</v>
      </c>
      <c r="B11" s="4">
        <v>1</v>
      </c>
      <c r="C11" s="25">
        <v>0</v>
      </c>
      <c r="D11" s="4">
        <v>1</v>
      </c>
      <c r="E11" s="4">
        <v>1</v>
      </c>
      <c r="F11" s="4">
        <v>1</v>
      </c>
      <c r="G11" s="25">
        <v>0</v>
      </c>
      <c r="H11" s="29">
        <v>0</v>
      </c>
      <c r="I11" s="46">
        <v>1</v>
      </c>
      <c r="J11" s="29">
        <v>0</v>
      </c>
      <c r="K11" s="50">
        <f>COUNTIF(B11:J11,"1")</f>
        <v>5</v>
      </c>
      <c r="L11" s="54">
        <f t="shared" si="0"/>
        <v>55.555555555555557</v>
      </c>
    </row>
    <row r="12" spans="1:12" ht="18" customHeight="1">
      <c r="A12" s="6" t="s">
        <v>34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29">
        <v>0</v>
      </c>
      <c r="I12" s="46">
        <v>1</v>
      </c>
      <c r="J12" s="46">
        <v>1</v>
      </c>
      <c r="K12" s="50">
        <f>COUNTIF(B12:J12,"1")</f>
        <v>8</v>
      </c>
      <c r="L12" s="54">
        <f>COUNTIF(B12:J12,1)/(COUNTIF(B12:J12,1)+COUNTIF(B12:J12,0)) *100</f>
        <v>88.888888888888886</v>
      </c>
    </row>
    <row r="13" spans="1:12" ht="18" customHeight="1">
      <c r="A13" s="6" t="s">
        <v>36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2">
        <v>1</v>
      </c>
      <c r="I13" s="46">
        <v>1</v>
      </c>
      <c r="J13" s="46">
        <v>1</v>
      </c>
      <c r="K13" s="50">
        <f>COUNTIF(B13:J13,"1")</f>
        <v>9</v>
      </c>
      <c r="L13" s="54">
        <f t="shared" si="0"/>
        <v>100</v>
      </c>
    </row>
    <row r="14" spans="1:12" ht="17.25" customHeight="1">
      <c r="A14" s="6" t="s">
        <v>38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29">
        <v>0</v>
      </c>
      <c r="I14" s="46">
        <v>1</v>
      </c>
      <c r="J14" s="46">
        <v>1</v>
      </c>
      <c r="K14" s="50">
        <f>COUNTIF(B14:J14,"1")</f>
        <v>8</v>
      </c>
      <c r="L14" s="54">
        <f t="shared" si="0"/>
        <v>88.888888888888886</v>
      </c>
    </row>
    <row r="15" spans="1:12" ht="19.5" customHeight="1">
      <c r="A15" s="10" t="s">
        <v>40</v>
      </c>
      <c r="B15" s="22">
        <v>0</v>
      </c>
      <c r="C15" s="22">
        <v>0</v>
      </c>
      <c r="D15" s="22">
        <v>0</v>
      </c>
      <c r="E15" s="33">
        <v>0</v>
      </c>
      <c r="F15" s="25">
        <v>0</v>
      </c>
      <c r="G15" s="20">
        <v>1</v>
      </c>
      <c r="H15" s="29">
        <v>0</v>
      </c>
      <c r="I15" s="29">
        <v>0</v>
      </c>
      <c r="J15" s="29">
        <v>0</v>
      </c>
      <c r="K15" s="50">
        <f>COUNTIF(B15:J15,"1")</f>
        <v>1</v>
      </c>
      <c r="L15" s="54">
        <f t="shared" si="0"/>
        <v>11.111111111111111</v>
      </c>
    </row>
    <row r="16" spans="1:12" ht="18.75" customHeight="1">
      <c r="A16" s="6" t="s">
        <v>43</v>
      </c>
      <c r="B16" s="22">
        <v>0</v>
      </c>
      <c r="C16" s="20">
        <v>1</v>
      </c>
      <c r="D16" s="20">
        <v>1</v>
      </c>
      <c r="E16" s="20">
        <v>1</v>
      </c>
      <c r="F16" s="20">
        <v>1</v>
      </c>
      <c r="G16" s="20">
        <v>1</v>
      </c>
      <c r="H16" s="29">
        <v>0</v>
      </c>
      <c r="I16" s="20">
        <v>1</v>
      </c>
      <c r="J16" s="46">
        <v>1</v>
      </c>
      <c r="K16" s="50">
        <f>COUNTIF(B16:J16,"1")</f>
        <v>7</v>
      </c>
      <c r="L16" s="54">
        <f t="shared" si="0"/>
        <v>77.777777777777786</v>
      </c>
    </row>
    <row r="17" spans="1:12" ht="16.5">
      <c r="A17" s="6" t="s">
        <v>45</v>
      </c>
      <c r="B17" s="23">
        <v>1</v>
      </c>
      <c r="C17" s="23">
        <v>1</v>
      </c>
      <c r="D17" s="23">
        <v>1</v>
      </c>
      <c r="E17" s="33">
        <v>0</v>
      </c>
      <c r="F17" s="33">
        <v>0</v>
      </c>
      <c r="G17" s="25">
        <v>0</v>
      </c>
      <c r="H17" s="29">
        <v>0</v>
      </c>
      <c r="I17" s="46">
        <v>1</v>
      </c>
      <c r="J17" s="46">
        <v>1</v>
      </c>
      <c r="K17" s="50">
        <f>COUNTIF(B17:J17,"1")</f>
        <v>5</v>
      </c>
      <c r="L17" s="54">
        <f t="shared" si="0"/>
        <v>55.555555555555557</v>
      </c>
    </row>
    <row r="18" spans="1:12" ht="16.5">
      <c r="A18" s="6" t="s">
        <v>9</v>
      </c>
      <c r="B18" s="23">
        <v>1</v>
      </c>
      <c r="C18" s="23">
        <v>1</v>
      </c>
      <c r="D18" s="20">
        <v>1</v>
      </c>
      <c r="E18" s="20">
        <v>1</v>
      </c>
      <c r="F18" s="20">
        <v>1</v>
      </c>
      <c r="G18" s="20">
        <v>1</v>
      </c>
      <c r="H18" s="42">
        <v>1</v>
      </c>
      <c r="I18" s="45">
        <v>1</v>
      </c>
      <c r="J18" s="46">
        <v>1</v>
      </c>
      <c r="K18" s="50">
        <f>COUNTIF(B18:J18,"1")</f>
        <v>9</v>
      </c>
      <c r="L18" s="54">
        <f t="shared" si="0"/>
        <v>100</v>
      </c>
    </row>
    <row r="19" spans="1:12" ht="16.5">
      <c r="A19" s="6" t="s">
        <v>48</v>
      </c>
      <c r="B19" s="23">
        <v>1</v>
      </c>
      <c r="C19" s="23">
        <v>1</v>
      </c>
      <c r="D19" s="22">
        <v>0</v>
      </c>
      <c r="E19" s="20">
        <v>1</v>
      </c>
      <c r="F19" s="20">
        <v>1</v>
      </c>
      <c r="G19" s="20">
        <v>1</v>
      </c>
      <c r="H19" s="29">
        <v>0</v>
      </c>
      <c r="I19" s="29">
        <v>0</v>
      </c>
      <c r="J19" s="29">
        <v>0</v>
      </c>
      <c r="K19" s="50">
        <f>COUNTIF(B19:J19,"1")</f>
        <v>5</v>
      </c>
      <c r="L19" s="54">
        <f t="shared" si="0"/>
        <v>55.555555555555557</v>
      </c>
    </row>
    <row r="20" spans="1:12" ht="16.5">
      <c r="A20" s="6" t="s">
        <v>50</v>
      </c>
      <c r="B20" s="22">
        <v>0</v>
      </c>
      <c r="C20" s="22">
        <v>0</v>
      </c>
      <c r="D20" s="22">
        <v>0</v>
      </c>
      <c r="E20" s="33">
        <v>0</v>
      </c>
      <c r="F20" s="33">
        <v>0</v>
      </c>
      <c r="G20" s="25">
        <v>0</v>
      </c>
      <c r="H20" s="29">
        <v>0</v>
      </c>
      <c r="I20" s="29">
        <v>0</v>
      </c>
      <c r="J20" s="29">
        <v>0</v>
      </c>
      <c r="K20" s="50">
        <f>COUNTIF(B20:J20,"1")</f>
        <v>0</v>
      </c>
      <c r="L20" s="54">
        <f t="shared" si="0"/>
        <v>0</v>
      </c>
    </row>
    <row r="21" spans="1:12" ht="16.5">
      <c r="A21" s="6" t="s">
        <v>52</v>
      </c>
      <c r="B21" s="23">
        <v>1</v>
      </c>
      <c r="C21" s="23">
        <v>1</v>
      </c>
      <c r="D21" s="23">
        <v>1</v>
      </c>
      <c r="E21" s="23">
        <v>1</v>
      </c>
      <c r="F21" s="23">
        <v>1</v>
      </c>
      <c r="G21" s="23">
        <v>1</v>
      </c>
      <c r="H21" s="29">
        <v>0</v>
      </c>
      <c r="I21" s="29">
        <v>0</v>
      </c>
      <c r="J21" s="29">
        <v>0</v>
      </c>
      <c r="K21" s="50">
        <f>COUNTIF(B21:J21,"1")</f>
        <v>6</v>
      </c>
      <c r="L21" s="54">
        <f t="shared" si="0"/>
        <v>66.666666666666657</v>
      </c>
    </row>
    <row r="22" spans="1:12" ht="16.5">
      <c r="A22" s="6" t="s">
        <v>25</v>
      </c>
      <c r="B22" s="23">
        <v>1</v>
      </c>
      <c r="C22" s="23">
        <v>1</v>
      </c>
      <c r="D22" s="23">
        <v>1</v>
      </c>
      <c r="E22" s="33">
        <v>0</v>
      </c>
      <c r="F22" s="33">
        <v>0</v>
      </c>
      <c r="G22" s="25">
        <v>0</v>
      </c>
      <c r="H22" s="46">
        <v>1</v>
      </c>
      <c r="I22" s="46">
        <v>1</v>
      </c>
      <c r="J22" s="29">
        <v>0</v>
      </c>
      <c r="K22" s="50">
        <f>COUNTIF(B22:J22,"1")</f>
        <v>5</v>
      </c>
      <c r="L22" s="54">
        <f t="shared" si="0"/>
        <v>55.555555555555557</v>
      </c>
    </row>
    <row r="23" spans="1:12" ht="16.5">
      <c r="A23" s="6" t="s">
        <v>55</v>
      </c>
      <c r="B23" s="23">
        <v>1</v>
      </c>
      <c r="C23" s="23">
        <v>1</v>
      </c>
      <c r="D23" s="23">
        <v>1</v>
      </c>
      <c r="E23" s="23">
        <v>1</v>
      </c>
      <c r="F23" s="23">
        <v>1</v>
      </c>
      <c r="G23" s="23">
        <v>1</v>
      </c>
      <c r="H23" s="42">
        <v>1</v>
      </c>
      <c r="I23" s="46">
        <v>1</v>
      </c>
      <c r="J23" s="46">
        <v>1</v>
      </c>
      <c r="K23" s="50">
        <f>COUNTIF(B23:J23,"1")</f>
        <v>9</v>
      </c>
      <c r="L23" s="54">
        <f t="shared" si="0"/>
        <v>100</v>
      </c>
    </row>
    <row r="24" spans="1:12" ht="16.5">
      <c r="A24" s="9" t="s">
        <v>57</v>
      </c>
      <c r="B24" s="23">
        <v>1</v>
      </c>
      <c r="C24" s="23">
        <v>1</v>
      </c>
      <c r="D24" s="23">
        <v>1</v>
      </c>
      <c r="E24" s="23">
        <v>1</v>
      </c>
      <c r="F24" s="23">
        <v>1</v>
      </c>
      <c r="G24" s="22">
        <v>0</v>
      </c>
      <c r="H24" s="22">
        <v>0</v>
      </c>
      <c r="I24" s="46">
        <v>1</v>
      </c>
      <c r="J24" s="46">
        <v>1</v>
      </c>
      <c r="K24" s="50">
        <f>COUNTIF(B24:J24,"1")</f>
        <v>7</v>
      </c>
      <c r="L24" s="54">
        <f t="shared" si="0"/>
        <v>77.777777777777786</v>
      </c>
    </row>
    <row r="25" spans="1:12" ht="16.5">
      <c r="A25" s="10" t="s">
        <v>59</v>
      </c>
      <c r="B25" s="22">
        <v>0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9">
        <v>0</v>
      </c>
      <c r="J25" s="29">
        <v>0</v>
      </c>
      <c r="K25" s="50">
        <f>COUNTIF(B25:J25,"1")</f>
        <v>0</v>
      </c>
      <c r="L25" s="54">
        <f t="shared" si="0"/>
        <v>0</v>
      </c>
    </row>
    <row r="26" spans="1:12" ht="16.5">
      <c r="A26" s="9" t="s">
        <v>60</v>
      </c>
      <c r="B26" s="22">
        <v>0</v>
      </c>
      <c r="C26" s="22">
        <v>0</v>
      </c>
      <c r="D26" s="20">
        <v>1</v>
      </c>
      <c r="E26" s="20">
        <v>1</v>
      </c>
      <c r="F26" s="20">
        <v>1</v>
      </c>
      <c r="G26" s="20">
        <v>1</v>
      </c>
      <c r="H26" s="42">
        <v>1</v>
      </c>
      <c r="I26" s="45">
        <v>1</v>
      </c>
      <c r="J26" s="46">
        <v>1</v>
      </c>
      <c r="K26" s="50">
        <f>COUNTIF(B26:J26,"1")</f>
        <v>7</v>
      </c>
      <c r="L26" s="54">
        <f t="shared" si="0"/>
        <v>77.777777777777786</v>
      </c>
    </row>
    <row r="27" spans="1:12" ht="16.5">
      <c r="A27" s="9" t="s">
        <v>62</v>
      </c>
      <c r="B27" s="22">
        <v>0</v>
      </c>
      <c r="C27" s="22">
        <v>0</v>
      </c>
      <c r="D27" s="20">
        <v>1</v>
      </c>
      <c r="E27" s="22">
        <v>0</v>
      </c>
      <c r="F27" s="20">
        <v>1</v>
      </c>
      <c r="G27" s="22">
        <v>0</v>
      </c>
      <c r="H27" s="22">
        <v>0</v>
      </c>
      <c r="I27" s="29">
        <v>0</v>
      </c>
      <c r="J27" s="29">
        <v>0</v>
      </c>
      <c r="K27" s="50">
        <f>COUNTIF(B27:J27,"1")</f>
        <v>2</v>
      </c>
      <c r="L27" s="54">
        <f t="shared" si="0"/>
        <v>22.222222222222221</v>
      </c>
    </row>
    <row r="28" spans="1:12" ht="16.5">
      <c r="A28" s="6" t="s">
        <v>64</v>
      </c>
      <c r="B28" s="22">
        <v>0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9">
        <v>0</v>
      </c>
      <c r="J28" s="20">
        <v>1</v>
      </c>
      <c r="K28" s="50">
        <v>1</v>
      </c>
      <c r="L28" s="54">
        <f t="shared" si="0"/>
        <v>11.111111111111111</v>
      </c>
    </row>
    <row r="29" spans="1:12" ht="16.5">
      <c r="A29" s="6" t="s">
        <v>65</v>
      </c>
      <c r="B29" s="22">
        <v>0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9">
        <v>0</v>
      </c>
      <c r="J29" s="29">
        <v>0</v>
      </c>
      <c r="K29" s="51">
        <f>COUNTIF(B29:J29,"1")</f>
        <v>0</v>
      </c>
      <c r="L29" s="54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Malak</dc:creator>
  <cp:keywords/>
  <dc:description/>
  <cp:lastModifiedBy>Guest User</cp:lastModifiedBy>
  <cp:revision/>
  <dcterms:created xsi:type="dcterms:W3CDTF">2026-07-15T18:21:39Z</dcterms:created>
  <dcterms:modified xsi:type="dcterms:W3CDTF">2026-08-10T14:03:01Z</dcterms:modified>
  <cp:category/>
  <cp:contentStatus/>
</cp:coreProperties>
</file>